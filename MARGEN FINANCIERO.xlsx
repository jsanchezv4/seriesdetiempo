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Mauricio\Downloads\"/>
    </mc:Choice>
  </mc:AlternateContent>
  <xr:revisionPtr revIDLastSave="0" documentId="13_ncr:1_{5768961F-D77A-4E10-B1C0-53FC3726DE2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I3" i="1" l="1"/>
  <c r="II5" i="1" s="1"/>
  <c r="IJ3" i="1"/>
  <c r="IJ5" i="1" s="1"/>
  <c r="IK3" i="1"/>
  <c r="IK5" i="1" s="1"/>
  <c r="IL3" i="1"/>
  <c r="IM3" i="1"/>
  <c r="IM5" i="1" s="1"/>
  <c r="IN3" i="1"/>
  <c r="IO3" i="1"/>
  <c r="IO5" i="1" s="1"/>
  <c r="IP3" i="1"/>
  <c r="IQ3" i="1"/>
  <c r="IQ5" i="1" s="1"/>
  <c r="IR3" i="1"/>
  <c r="IR5" i="1" s="1"/>
  <c r="IS3" i="1"/>
  <c r="II4" i="1"/>
  <c r="IJ4" i="1"/>
  <c r="IK4" i="1"/>
  <c r="IL4" i="1"/>
  <c r="IM4" i="1"/>
  <c r="IN4" i="1"/>
  <c r="IO4" i="1"/>
  <c r="IP4" i="1"/>
  <c r="IQ4" i="1"/>
  <c r="IR4" i="1"/>
  <c r="IS4" i="1"/>
  <c r="IP5" i="1"/>
  <c r="IS5" i="1"/>
  <c r="IH4" i="1"/>
  <c r="IH3" i="1"/>
  <c r="IN5" i="1" l="1"/>
  <c r="IL5" i="1"/>
  <c r="IH5" i="1"/>
  <c r="HW3" i="1"/>
  <c r="HX3" i="1"/>
  <c r="HY3" i="1"/>
  <c r="HZ3" i="1"/>
  <c r="IA3" i="1"/>
  <c r="IB3" i="1"/>
  <c r="IB5" i="1" s="1"/>
  <c r="IC3" i="1"/>
  <c r="IC5" i="1" s="1"/>
  <c r="ID3" i="1"/>
  <c r="ID5" i="1" s="1"/>
  <c r="IE3" i="1"/>
  <c r="IF3" i="1"/>
  <c r="IG3" i="1"/>
  <c r="HW4" i="1"/>
  <c r="HX4" i="1"/>
  <c r="HY4" i="1"/>
  <c r="HY5" i="1" s="1"/>
  <c r="HZ4" i="1"/>
  <c r="HZ5" i="1" s="1"/>
  <c r="IA4" i="1"/>
  <c r="IB4" i="1"/>
  <c r="IC4" i="1"/>
  <c r="ID4" i="1"/>
  <c r="IE4" i="1"/>
  <c r="IE5" i="1" s="1"/>
  <c r="IF4" i="1"/>
  <c r="IF5" i="1" s="1"/>
  <c r="IG4" i="1"/>
  <c r="IG5" i="1" s="1"/>
  <c r="HW5" i="1"/>
  <c r="HX5" i="1"/>
  <c r="HV4" i="1"/>
  <c r="HV3" i="1"/>
  <c r="IA5" i="1" l="1"/>
  <c r="HV5" i="1"/>
  <c r="HK3" i="1"/>
  <c r="HK5" i="1" s="1"/>
  <c r="HL3" i="1"/>
  <c r="HM3" i="1"/>
  <c r="HN3" i="1"/>
  <c r="HO3" i="1"/>
  <c r="HP3" i="1"/>
  <c r="HQ3" i="1"/>
  <c r="HQ5" i="1" s="1"/>
  <c r="HR3" i="1"/>
  <c r="HR5" i="1" s="1"/>
  <c r="HS3" i="1"/>
  <c r="HS5" i="1" s="1"/>
  <c r="HT3" i="1"/>
  <c r="HU3" i="1"/>
  <c r="HK4" i="1"/>
  <c r="HL4" i="1"/>
  <c r="HM4" i="1"/>
  <c r="HM5" i="1" s="1"/>
  <c r="HN4" i="1"/>
  <c r="HO4" i="1"/>
  <c r="HO5" i="1" s="1"/>
  <c r="HP4" i="1"/>
  <c r="HQ4" i="1"/>
  <c r="HR4" i="1"/>
  <c r="HS4" i="1"/>
  <c r="HT4" i="1"/>
  <c r="HT5" i="1" s="1"/>
  <c r="HU4" i="1"/>
  <c r="HU5" i="1" s="1"/>
  <c r="HL5" i="1"/>
  <c r="HP5" i="1"/>
  <c r="HJ4" i="1"/>
  <c r="HJ3" i="1"/>
  <c r="HN5" i="1" l="1"/>
  <c r="HJ5" i="1"/>
  <c r="GY3" i="1"/>
  <c r="GY5" i="1" s="1"/>
  <c r="GZ3" i="1"/>
  <c r="HA3" i="1"/>
  <c r="HA5" i="1" s="1"/>
  <c r="HB3" i="1"/>
  <c r="HC3" i="1"/>
  <c r="HD3" i="1"/>
  <c r="HE3" i="1"/>
  <c r="HF3" i="1"/>
  <c r="HG3" i="1"/>
  <c r="HH3" i="1"/>
  <c r="HH5" i="1" s="1"/>
  <c r="HI3" i="1"/>
  <c r="HI5" i="1" s="1"/>
  <c r="GY4" i="1"/>
  <c r="GZ4" i="1"/>
  <c r="HA4" i="1"/>
  <c r="HB4" i="1"/>
  <c r="HC4" i="1"/>
  <c r="HD4" i="1"/>
  <c r="HE4" i="1"/>
  <c r="HF4" i="1"/>
  <c r="HG4" i="1"/>
  <c r="HH4" i="1"/>
  <c r="HI4" i="1"/>
  <c r="HB5" i="1"/>
  <c r="HC5" i="1"/>
  <c r="HD5" i="1"/>
  <c r="GX4" i="1"/>
  <c r="GX3" i="1"/>
  <c r="HF5" i="1" l="1"/>
  <c r="HG5" i="1"/>
  <c r="HE5" i="1"/>
  <c r="GZ5" i="1"/>
  <c r="GX5" i="1"/>
  <c r="GM3" i="1"/>
  <c r="GM5" i="1" s="1"/>
  <c r="GN3" i="1"/>
  <c r="GN5" i="1" s="1"/>
  <c r="GO3" i="1"/>
  <c r="GP3" i="1"/>
  <c r="GP5" i="1" s="1"/>
  <c r="GQ3" i="1"/>
  <c r="GR3" i="1"/>
  <c r="GS3" i="1"/>
  <c r="GT3" i="1"/>
  <c r="GU3" i="1"/>
  <c r="GV3" i="1"/>
  <c r="GW3" i="1"/>
  <c r="GM4" i="1"/>
  <c r="GN4" i="1"/>
  <c r="GO4" i="1"/>
  <c r="GP4" i="1"/>
  <c r="GQ4" i="1"/>
  <c r="GQ5" i="1" s="1"/>
  <c r="GR4" i="1"/>
  <c r="GS4" i="1"/>
  <c r="GT4" i="1"/>
  <c r="GU4" i="1"/>
  <c r="GU5" i="1" s="1"/>
  <c r="GV4" i="1"/>
  <c r="GW4" i="1"/>
  <c r="GV5" i="1"/>
  <c r="GL4" i="1"/>
  <c r="GL3" i="1"/>
  <c r="GS5" i="1" l="1"/>
  <c r="GT5" i="1"/>
  <c r="GW5" i="1"/>
  <c r="GO5" i="1"/>
  <c r="GR5" i="1"/>
  <c r="GL5" i="1"/>
  <c r="GA3" i="1"/>
  <c r="GB3" i="1"/>
  <c r="GC3" i="1"/>
  <c r="GC5" i="1" s="1"/>
  <c r="GD3" i="1"/>
  <c r="GE3" i="1"/>
  <c r="GE5" i="1" s="1"/>
  <c r="GF3" i="1"/>
  <c r="GG3" i="1"/>
  <c r="GG5" i="1" s="1"/>
  <c r="GH3" i="1"/>
  <c r="GI3" i="1"/>
  <c r="GJ3" i="1"/>
  <c r="GK3" i="1"/>
  <c r="GA4" i="1"/>
  <c r="GB4" i="1"/>
  <c r="GB5" i="1" s="1"/>
  <c r="GC4" i="1"/>
  <c r="GD4" i="1"/>
  <c r="GE4" i="1"/>
  <c r="GF4" i="1"/>
  <c r="GG4" i="1"/>
  <c r="GH4" i="1"/>
  <c r="GI4" i="1"/>
  <c r="GJ4" i="1"/>
  <c r="GJ5" i="1" s="1"/>
  <c r="GK4" i="1"/>
  <c r="GK5" i="1"/>
  <c r="FZ4" i="1"/>
  <c r="FZ3" i="1"/>
  <c r="GI5" i="1" l="1"/>
  <c r="GA5" i="1"/>
  <c r="GH5" i="1"/>
  <c r="GD5" i="1"/>
  <c r="GF5" i="1"/>
  <c r="FZ5" i="1"/>
  <c r="FO3" i="1"/>
  <c r="FP3" i="1"/>
  <c r="FQ3" i="1"/>
  <c r="FQ5" i="1" s="1"/>
  <c r="FR3" i="1"/>
  <c r="FS3" i="1"/>
  <c r="FS5" i="1" s="1"/>
  <c r="FT3" i="1"/>
  <c r="FU3" i="1"/>
  <c r="FU5" i="1" s="1"/>
  <c r="FV3" i="1"/>
  <c r="FW3" i="1"/>
  <c r="FX3" i="1"/>
  <c r="FY3" i="1"/>
  <c r="FO4" i="1"/>
  <c r="FP4" i="1"/>
  <c r="FP5" i="1" s="1"/>
  <c r="FQ4" i="1"/>
  <c r="FR4" i="1"/>
  <c r="FS4" i="1"/>
  <c r="FT4" i="1"/>
  <c r="FU4" i="1"/>
  <c r="FV4" i="1"/>
  <c r="FW4" i="1"/>
  <c r="FX4" i="1"/>
  <c r="FX5" i="1" s="1"/>
  <c r="FY4" i="1"/>
  <c r="FY5" i="1"/>
  <c r="FN4" i="1"/>
  <c r="FN3" i="1"/>
  <c r="FW5" i="1" l="1"/>
  <c r="FO5" i="1"/>
  <c r="FV5" i="1"/>
  <c r="FR5" i="1"/>
  <c r="FT5" i="1"/>
  <c r="FN5" i="1"/>
  <c r="FC3" i="1"/>
  <c r="FC5" i="1" s="1"/>
  <c r="FD3" i="1"/>
  <c r="FD5" i="1" s="1"/>
  <c r="FE3" i="1"/>
  <c r="FF3" i="1"/>
  <c r="FG3" i="1"/>
  <c r="FH3" i="1"/>
  <c r="FI3" i="1"/>
  <c r="FJ3" i="1"/>
  <c r="FJ5" i="1" s="1"/>
  <c r="FK3" i="1"/>
  <c r="FL3" i="1"/>
  <c r="FM3" i="1"/>
  <c r="FC4" i="1"/>
  <c r="FD4" i="1"/>
  <c r="FE4" i="1"/>
  <c r="FE5" i="1" s="1"/>
  <c r="FF4" i="1"/>
  <c r="FG4" i="1"/>
  <c r="FG5" i="1" s="1"/>
  <c r="FH4" i="1"/>
  <c r="FI4" i="1"/>
  <c r="FJ4" i="1"/>
  <c r="FK4" i="1"/>
  <c r="FL4" i="1"/>
  <c r="FM4" i="1"/>
  <c r="FM5" i="1" s="1"/>
  <c r="FK5" i="1"/>
  <c r="FL5" i="1"/>
  <c r="FB4" i="1"/>
  <c r="FB3" i="1"/>
  <c r="FI5" i="1" l="1"/>
  <c r="FH5" i="1"/>
  <c r="FF5" i="1"/>
  <c r="FB5" i="1"/>
  <c r="EQ3" i="1"/>
  <c r="EQ5" i="1" s="1"/>
  <c r="ER3" i="1"/>
  <c r="ER5" i="1" s="1"/>
  <c r="ES3" i="1"/>
  <c r="ET3" i="1"/>
  <c r="EU3" i="1"/>
  <c r="EV3" i="1"/>
  <c r="EW3" i="1"/>
  <c r="EX3" i="1"/>
  <c r="EY3" i="1"/>
  <c r="EZ3" i="1"/>
  <c r="FA3" i="1"/>
  <c r="EQ4" i="1"/>
  <c r="ER4" i="1"/>
  <c r="ES4" i="1"/>
  <c r="ET4" i="1"/>
  <c r="EU4" i="1"/>
  <c r="EU5" i="1" s="1"/>
  <c r="EV4" i="1"/>
  <c r="EW4" i="1"/>
  <c r="EX4" i="1"/>
  <c r="EY4" i="1"/>
  <c r="EY5" i="1" s="1"/>
  <c r="EZ4" i="1"/>
  <c r="FA4" i="1"/>
  <c r="EZ5" i="1"/>
  <c r="EP4" i="1"/>
  <c r="EP3" i="1"/>
  <c r="EX5" i="1" l="1"/>
  <c r="EW5" i="1"/>
  <c r="FA5" i="1"/>
  <c r="EV5" i="1"/>
  <c r="ET5" i="1"/>
  <c r="ES5" i="1"/>
  <c r="EP5" i="1"/>
  <c r="EE3" i="1"/>
  <c r="EE5" i="1" s="1"/>
  <c r="EF3" i="1"/>
  <c r="EG3" i="1"/>
  <c r="EH3" i="1"/>
  <c r="EI3" i="1"/>
  <c r="EJ3" i="1"/>
  <c r="EK3" i="1"/>
  <c r="EL3" i="1"/>
  <c r="EL5" i="1" s="1"/>
  <c r="EM3" i="1"/>
  <c r="EM5" i="1" s="1"/>
  <c r="EN3" i="1"/>
  <c r="EO3" i="1"/>
  <c r="EE4" i="1"/>
  <c r="EF4" i="1"/>
  <c r="EG4" i="1"/>
  <c r="EG5" i="1" s="1"/>
  <c r="EH4" i="1"/>
  <c r="EI4" i="1"/>
  <c r="EJ4" i="1"/>
  <c r="EK4" i="1"/>
  <c r="EL4" i="1"/>
  <c r="EM4" i="1"/>
  <c r="EN4" i="1"/>
  <c r="EO4" i="1"/>
  <c r="EO5" i="1" s="1"/>
  <c r="EH5" i="1"/>
  <c r="EN5" i="1"/>
  <c r="ED4" i="1"/>
  <c r="ED3" i="1"/>
  <c r="EJ5" i="1" l="1"/>
  <c r="EI5" i="1"/>
  <c r="EK5" i="1"/>
  <c r="EF5" i="1"/>
  <c r="ED5" i="1"/>
  <c r="DS3" i="1"/>
  <c r="DS5" i="1" s="1"/>
  <c r="DT3" i="1"/>
  <c r="DT5" i="1" s="1"/>
  <c r="DU3" i="1"/>
  <c r="DU5" i="1" s="1"/>
  <c r="DV3" i="1"/>
  <c r="DW3" i="1"/>
  <c r="DX3" i="1"/>
  <c r="DY3" i="1"/>
  <c r="DZ3" i="1"/>
  <c r="EA3" i="1"/>
  <c r="EA5" i="1" s="1"/>
  <c r="EB3" i="1"/>
  <c r="EB5" i="1" s="1"/>
  <c r="EC3" i="1"/>
  <c r="EC5" i="1" s="1"/>
  <c r="DS4" i="1"/>
  <c r="DT4" i="1"/>
  <c r="DU4" i="1"/>
  <c r="DV4" i="1"/>
  <c r="DW4" i="1"/>
  <c r="DW5" i="1" s="1"/>
  <c r="DX4" i="1"/>
  <c r="DX5" i="1" s="1"/>
  <c r="DY4" i="1"/>
  <c r="DZ4" i="1"/>
  <c r="EA4" i="1"/>
  <c r="EB4" i="1"/>
  <c r="EC4" i="1"/>
  <c r="DV5" i="1"/>
  <c r="DR4" i="1"/>
  <c r="DR3" i="1"/>
  <c r="DZ5" i="1" l="1"/>
  <c r="DY5" i="1"/>
  <c r="DR5" i="1"/>
  <c r="DG3" i="1"/>
  <c r="DH3" i="1"/>
  <c r="DH5" i="1" s="1"/>
  <c r="DI3" i="1"/>
  <c r="DI5" i="1" s="1"/>
  <c r="DJ3" i="1"/>
  <c r="DK3" i="1"/>
  <c r="DL3" i="1"/>
  <c r="DL5" i="1" s="1"/>
  <c r="DM3" i="1"/>
  <c r="DN3" i="1"/>
  <c r="DO3" i="1"/>
  <c r="DP3" i="1"/>
  <c r="DQ3" i="1"/>
  <c r="DG4" i="1"/>
  <c r="DH4" i="1"/>
  <c r="DI4" i="1"/>
  <c r="DJ4" i="1"/>
  <c r="DK4" i="1"/>
  <c r="DL4" i="1"/>
  <c r="DM4" i="1"/>
  <c r="DN4" i="1"/>
  <c r="DO4" i="1"/>
  <c r="DO5" i="1" s="1"/>
  <c r="DP4" i="1"/>
  <c r="DP5" i="1" s="1"/>
  <c r="DQ4" i="1"/>
  <c r="DQ5" i="1" s="1"/>
  <c r="DF4" i="1"/>
  <c r="DF3" i="1"/>
  <c r="DG5" i="1" l="1"/>
  <c r="DK5" i="1"/>
  <c r="DN5" i="1"/>
  <c r="DJ5" i="1"/>
  <c r="DM5" i="1"/>
  <c r="DF5" i="1"/>
  <c r="CU3" i="1"/>
  <c r="CU5" i="1" s="1"/>
  <c r="CV3" i="1"/>
  <c r="CV5" i="1" s="1"/>
  <c r="CW3" i="1"/>
  <c r="CW5" i="1" s="1"/>
  <c r="CX3" i="1"/>
  <c r="CY3" i="1"/>
  <c r="CZ3" i="1"/>
  <c r="DA3" i="1"/>
  <c r="DB3" i="1"/>
  <c r="DC3" i="1"/>
  <c r="DC5" i="1" s="1"/>
  <c r="DD3" i="1"/>
  <c r="DD5" i="1" s="1"/>
  <c r="DE3" i="1"/>
  <c r="DE5" i="1" s="1"/>
  <c r="CU4" i="1"/>
  <c r="CV4" i="1"/>
  <c r="CW4" i="1"/>
  <c r="CX4" i="1"/>
  <c r="CY4" i="1"/>
  <c r="CZ4" i="1"/>
  <c r="DA4" i="1"/>
  <c r="DB4" i="1"/>
  <c r="DC4" i="1"/>
  <c r="DD4" i="1"/>
  <c r="DE4" i="1"/>
  <c r="CX5" i="1"/>
  <c r="CT4" i="1"/>
  <c r="CT3" i="1"/>
  <c r="DB5" i="1" l="1"/>
  <c r="CZ5" i="1"/>
  <c r="CY5" i="1"/>
  <c r="DA5" i="1"/>
  <c r="CT5" i="1"/>
  <c r="CI3" i="1"/>
  <c r="CJ3" i="1"/>
  <c r="CK3" i="1"/>
  <c r="CL3" i="1"/>
  <c r="CM3" i="1"/>
  <c r="CN3" i="1"/>
  <c r="CO3" i="1"/>
  <c r="CP3" i="1"/>
  <c r="CQ3" i="1"/>
  <c r="CR3" i="1"/>
  <c r="CS3" i="1"/>
  <c r="CH3" i="1"/>
  <c r="BW3" i="1" l="1"/>
  <c r="BX3" i="1"/>
  <c r="BX5" i="1" s="1"/>
  <c r="BY3" i="1"/>
  <c r="BY5" i="1" s="1"/>
  <c r="BZ3" i="1"/>
  <c r="BZ5" i="1" s="1"/>
  <c r="CA3" i="1"/>
  <c r="CB3" i="1"/>
  <c r="CC3" i="1"/>
  <c r="CD3" i="1"/>
  <c r="CE3" i="1"/>
  <c r="CF3" i="1"/>
  <c r="CF5" i="1" s="1"/>
  <c r="CG3" i="1"/>
  <c r="CG5" i="1" s="1"/>
  <c r="BW4" i="1"/>
  <c r="BX4" i="1"/>
  <c r="BY4" i="1"/>
  <c r="BZ4" i="1"/>
  <c r="CA4" i="1"/>
  <c r="CB4" i="1"/>
  <c r="CB5" i="1" s="1"/>
  <c r="CC4" i="1"/>
  <c r="CC5" i="1" s="1"/>
  <c r="CD4" i="1"/>
  <c r="CE4" i="1"/>
  <c r="CF4" i="1"/>
  <c r="CG4" i="1"/>
  <c r="BV4" i="1"/>
  <c r="BV3" i="1"/>
  <c r="CE5" i="1" l="1"/>
  <c r="CD5" i="1"/>
  <c r="BW5" i="1"/>
  <c r="CA5" i="1"/>
  <c r="BV5" i="1"/>
  <c r="BK3" i="1"/>
  <c r="BK5" i="1" s="1"/>
  <c r="BL3" i="1"/>
  <c r="BL5" i="1" s="1"/>
  <c r="BM3" i="1"/>
  <c r="BN3" i="1"/>
  <c r="BO3" i="1"/>
  <c r="BP3" i="1"/>
  <c r="BQ3" i="1"/>
  <c r="BR3" i="1"/>
  <c r="BS3" i="1"/>
  <c r="BT3" i="1"/>
  <c r="BU3" i="1"/>
  <c r="BK4" i="1"/>
  <c r="BL4" i="1"/>
  <c r="BM4" i="1"/>
  <c r="BN4" i="1"/>
  <c r="BO4" i="1"/>
  <c r="BP4" i="1"/>
  <c r="BQ4" i="1"/>
  <c r="BR4" i="1"/>
  <c r="BS4" i="1"/>
  <c r="BT4" i="1"/>
  <c r="BU4" i="1"/>
  <c r="BS5" i="1"/>
  <c r="BT5" i="1"/>
  <c r="BJ4" i="1"/>
  <c r="BJ3" i="1"/>
  <c r="BQ5" i="1" l="1"/>
  <c r="BP5" i="1"/>
  <c r="BU5" i="1"/>
  <c r="BO5" i="1"/>
  <c r="BR5" i="1"/>
  <c r="BM5" i="1"/>
  <c r="BN5" i="1"/>
  <c r="BJ5" i="1"/>
  <c r="BF5" i="1"/>
  <c r="AY4" i="1"/>
  <c r="AZ4" i="1"/>
  <c r="BA4" i="1"/>
  <c r="BB4" i="1"/>
  <c r="BC4" i="1"/>
  <c r="BD4" i="1"/>
  <c r="BE4" i="1"/>
  <c r="BF4" i="1"/>
  <c r="BG4" i="1"/>
  <c r="BH4" i="1"/>
  <c r="BI4" i="1"/>
  <c r="AX4" i="1"/>
  <c r="AY3" i="1"/>
  <c r="AY5" i="1" s="1"/>
  <c r="AZ3" i="1"/>
  <c r="AZ5" i="1" s="1"/>
  <c r="BA3" i="1"/>
  <c r="BA5" i="1" s="1"/>
  <c r="BB3" i="1"/>
  <c r="BB5" i="1" s="1"/>
  <c r="BC3" i="1"/>
  <c r="BC5" i="1" s="1"/>
  <c r="BD3" i="1"/>
  <c r="BD5" i="1" s="1"/>
  <c r="BE3" i="1"/>
  <c r="BE5" i="1" s="1"/>
  <c r="BF3" i="1"/>
  <c r="BG3" i="1"/>
  <c r="BG5" i="1" s="1"/>
  <c r="BH3" i="1"/>
  <c r="BH5" i="1" s="1"/>
  <c r="BI3" i="1"/>
  <c r="BI5" i="1" s="1"/>
  <c r="AX3" i="1"/>
  <c r="AX5" i="1" s="1"/>
  <c r="AN5" i="1"/>
  <c r="AO5" i="1"/>
  <c r="AP5" i="1"/>
  <c r="AV5" i="1"/>
  <c r="AW5" i="1"/>
  <c r="AM4" i="1"/>
  <c r="AN4" i="1"/>
  <c r="AO4" i="1"/>
  <c r="AP4" i="1"/>
  <c r="AQ4" i="1"/>
  <c r="AR4" i="1"/>
  <c r="AS4" i="1"/>
  <c r="AT4" i="1"/>
  <c r="AT5" i="1" s="1"/>
  <c r="AU4" i="1"/>
  <c r="AV4" i="1"/>
  <c r="AW4" i="1"/>
  <c r="AL4" i="1"/>
  <c r="AM3" i="1"/>
  <c r="AM5" i="1" s="1"/>
  <c r="AN3" i="1"/>
  <c r="AO3" i="1"/>
  <c r="AP3" i="1"/>
  <c r="AQ3" i="1"/>
  <c r="AQ5" i="1" s="1"/>
  <c r="AR3" i="1"/>
  <c r="AR5" i="1" s="1"/>
  <c r="AS3" i="1"/>
  <c r="AS5" i="1" s="1"/>
  <c r="AT3" i="1"/>
  <c r="AU3" i="1"/>
  <c r="AU5" i="1" s="1"/>
  <c r="AV3" i="1"/>
  <c r="AW3" i="1"/>
  <c r="AL3" i="1"/>
  <c r="AL5" i="1"/>
  <c r="U5" i="1"/>
  <c r="V5" i="1"/>
  <c r="O4" i="1"/>
  <c r="P4" i="1"/>
  <c r="Q4" i="1"/>
  <c r="R4" i="1"/>
  <c r="R5" i="1" s="1"/>
  <c r="S4" i="1"/>
  <c r="T4" i="1"/>
  <c r="U4" i="1"/>
  <c r="V4" i="1"/>
  <c r="W4" i="1"/>
  <c r="X4" i="1"/>
  <c r="Y4" i="1"/>
  <c r="N4" i="1"/>
  <c r="N5" i="1" s="1"/>
  <c r="O3" i="1"/>
  <c r="O5" i="1" s="1"/>
  <c r="P3" i="1"/>
  <c r="P5" i="1" s="1"/>
  <c r="Q3" i="1"/>
  <c r="Q5" i="1" s="1"/>
  <c r="R3" i="1"/>
  <c r="S3" i="1"/>
  <c r="S5" i="1" s="1"/>
  <c r="T3" i="1"/>
  <c r="T5" i="1" s="1"/>
  <c r="U3" i="1"/>
  <c r="V3" i="1"/>
  <c r="W3" i="1"/>
  <c r="W5" i="1" s="1"/>
  <c r="X3" i="1"/>
  <c r="X5" i="1" s="1"/>
  <c r="Y3" i="1"/>
  <c r="Y5" i="1" s="1"/>
  <c r="N3" i="1"/>
  <c r="C4" i="1" l="1"/>
  <c r="D4" i="1"/>
  <c r="E4" i="1"/>
  <c r="F4" i="1"/>
  <c r="G4" i="1"/>
  <c r="H4" i="1"/>
  <c r="I4" i="1"/>
  <c r="J4" i="1"/>
  <c r="K4" i="1"/>
  <c r="L4" i="1"/>
  <c r="M4" i="1"/>
  <c r="B4" i="1"/>
  <c r="C3" i="1"/>
  <c r="D3" i="1"/>
  <c r="E3" i="1"/>
  <c r="F3" i="1"/>
  <c r="G3" i="1"/>
  <c r="H3" i="1"/>
  <c r="I3" i="1"/>
  <c r="J3" i="1"/>
  <c r="K3" i="1"/>
  <c r="L3" i="1"/>
  <c r="M3" i="1"/>
  <c r="B3" i="1"/>
  <c r="L5" i="1" l="1"/>
  <c r="H5" i="1"/>
  <c r="C5" i="1"/>
  <c r="J5" i="1"/>
  <c r="B5" i="1"/>
  <c r="F5" i="1"/>
  <c r="D5" i="1"/>
  <c r="K5" i="1"/>
  <c r="G5" i="1"/>
  <c r="I5" i="1"/>
  <c r="M5" i="1"/>
  <c r="E5" i="1"/>
</calcChain>
</file>

<file path=xl/sharedStrings.xml><?xml version="1.0" encoding="utf-8"?>
<sst xmlns="http://schemas.openxmlformats.org/spreadsheetml/2006/main" count="260" uniqueCount="20">
  <si>
    <t>AÑO</t>
  </si>
  <si>
    <t>MES</t>
  </si>
  <si>
    <t xml:space="preserve">INGRESOS FINANCIEROS </t>
  </si>
  <si>
    <t xml:space="preserve">GASTOS FINANCIEROS </t>
  </si>
  <si>
    <t>MARGEN FINANCIERO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</si>
  <si>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</si>
  <si>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</si>
  <si>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</si>
  <si>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</si>
  <si>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</si>
  <si>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</si>
  <si>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</si>
  <si>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</si>
  <si>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</si>
  <si>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</si>
  <si>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</si>
  <si>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</si>
  <si>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TASA BANREP</t>
  </si>
  <si>
    <t xml:space="preserve">estimar una regresion lineal hasta el año 2026 dic, Arima </t>
  </si>
  <si>
    <t>proyeccion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</si>
</sst>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,###,###,###,###,###,###,###,###,##0.0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7">
    <xf numFmtId="0" fontId="0" fillId="0" borderId="0" xfId="0"/>
    <xf numFmtId="0" fontId="0" fillId="0" borderId="1" xfId="0" applyBorder="1"/>
    <xf numFmtId="3" fontId="0" fillId="0" borderId="1" xfId="0" applyNumberFormat="1" applyBorder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10" fontId="0" fillId="0" borderId="0" xfId="1" applyNumberFormat="1" applyFont="1"/>
    <xf numFmtId="0" fontId="0" fillId="0" borderId="2" xfId="0" applyBorder="1" applyAlignment="1">
      <alignment horizontal="center"/>
    </xf>
    <xf numFmtId="0" fontId="0" fillId="2" borderId="2" xfId="0" applyFill="1" applyBorder="1" applyAlignment="1">
      <alignment horizontal="center"/>
    </xf>
    <xf numFmtId="3" fontId="0" fillId="0" borderId="2" xfId="0" applyNumberFormat="1" applyBorder="1"/>
    <xf numFmtId="10" fontId="0" fillId="0" borderId="3" xfId="1" applyNumberFormat="1" applyFont="1" applyBorder="1"/>
    <xf numFmtId="3" fontId="0" fillId="0" borderId="4" xfId="0" applyNumberFormat="1" applyBorder="1"/>
    <xf numFmtId="0" fontId="0" fillId="0" borderId="4" xfId="0" applyBorder="1" applyAlignment="1">
      <alignment horizontal="center"/>
    </xf>
    <xf numFmtId="0" fontId="0" fillId="2" borderId="4" xfId="0" applyFill="1" applyBorder="1" applyAlignment="1">
      <alignment horizontal="center"/>
    </xf>
    <xf numFmtId="164" fontId="0" fillId="3" borderId="0" xfId="0" applyNumberFormat="1" applyFill="1" applyAlignment="1">
      <alignment horizontal="center" vertical="center"/>
    </xf>
    <xf numFmtId="10" fontId="0" fillId="0" borderId="5" xfId="1" applyNumberFormat="1" applyFont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3" Type="http://schemas.openxmlformats.org/officeDocument/2006/relationships/externalLink" Target="externalLinks/externalLink2.xml"/><Relationship Id="rId21" Type="http://schemas.openxmlformats.org/officeDocument/2006/relationships/externalLink" Target="externalLinks/externalLink20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externalLink" Target="externalLinks/externalLink19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24" Type="http://schemas.openxmlformats.org/officeDocument/2006/relationships/sharedStrings" Target="sharedStrings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23" Type="http://schemas.openxmlformats.org/officeDocument/2006/relationships/styles" Target="styles.xml"/><Relationship Id="rId10" Type="http://schemas.openxmlformats.org/officeDocument/2006/relationships/externalLink" Target="externalLinks/externalLink9.xml"/><Relationship Id="rId19" Type="http://schemas.openxmlformats.org/officeDocument/2006/relationships/externalLink" Target="externalLinks/externalLink18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05\Dic%202005\PRESENTACION%20PYG%20NUEVO%20FORMATO.xls" TargetMode="External"/><Relationship Id="rId1" Type="http://schemas.openxmlformats.org/officeDocument/2006/relationships/externalLinkPath" Target="file:///\\neusa1\FinDPlanEstrateFinan\ANAPYP5\ControlPresupuestal\2005\Dic%202005\PRESENTACION%20PYG%20NUEVO%20FORMAT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06\Dic%2006\PRESENTACION%20PYG%20NUEVO%20FORMATO.xls" TargetMode="External"/><Relationship Id="rId1" Type="http://schemas.openxmlformats.org/officeDocument/2006/relationships/externalLinkPath" Target="file:///\\neusa1\FinDPlanEstrateFinan\ANAPYP5\ControlPresupuestal\2006\Dic%2006\PRESENTACION%20PYG%20NUEVO%20FORMATO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08\Dic%2008\PRESENTACION%20PYG%20NUEVO%20FORMATO%20COP.xls" TargetMode="External"/><Relationship Id="rId1" Type="http://schemas.openxmlformats.org/officeDocument/2006/relationships/externalLinkPath" Target="file:///\\neusa1\FinDPlanEstrateFinan\ANAPYP5\ControlPresupuestal\2008\Dic%2008\PRESENTACION%20PYG%20NUEVO%20FORMATO%20COP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09\Dic%2009\PRESENTACION%20PYG%20NUEVO%20FORMATO.xls" TargetMode="External"/><Relationship Id="rId1" Type="http://schemas.openxmlformats.org/officeDocument/2006/relationships/externalLinkPath" Target="file:///\\neusa1\FinDPlanEstrateFinan\ANAPYP5\ControlPresupuestal\2009\Dic%2009\PRESENTACION%20PYG%20NUEVO%20FORMATO.xls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10\Dic%2010\PRESENTACION%20PYG%20NUEVO%20FORMATO.xlsx" TargetMode="External"/><Relationship Id="rId1" Type="http://schemas.openxmlformats.org/officeDocument/2006/relationships/externalLinkPath" Target="file:///\\neusa1\FinDPlanEstrateFinan\ANAPYP5\ControlPresupuestal\2010\Dic%2010\PRESENTACION%20PYG%20NUEVO%20FORMATO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11\Dic%2011\PRESENTACION%20PYG%20NUEVO%20FORMATO.xlsx" TargetMode="External"/><Relationship Id="rId1" Type="http://schemas.openxmlformats.org/officeDocument/2006/relationships/externalLinkPath" Target="file:///\\neusa1\FinDPlanEstrateFinan\ANAPYP5\ControlPresupuestal\2011\Dic%2011\PRESENTACION%20PYG%20NUEVO%20FORMATO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12\Dic%2012\PRESENTACION%20PYG%20NUEVO%20FORMATO.xlsx" TargetMode="External"/><Relationship Id="rId1" Type="http://schemas.openxmlformats.org/officeDocument/2006/relationships/externalLinkPath" Target="file:///\\neusa1\FinDPlanEstrateFinan\ANAPYP5\ControlPresupuestal\2012\Dic%2012\PRESENTACION%20PYG%20NUEVO%20FORMATO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13\Dic%2013\PRESENTACION%20PYG%20NUEVO%20FORMATO.xlsx" TargetMode="External"/><Relationship Id="rId1" Type="http://schemas.openxmlformats.org/officeDocument/2006/relationships/externalLinkPath" Target="file:///\\neusa1\FinDPlanEstrateFinan\ANAPYP5\ControlPresupuestal\2013\Dic%2013\PRESENTACION%20PYG%20NUEVO%20FORMATO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14\dic%2014\PRESENTACION%20PYG%20NUEVO%20FORMATO.xlsx" TargetMode="External"/><Relationship Id="rId1" Type="http://schemas.openxmlformats.org/officeDocument/2006/relationships/externalLinkPath" Target="file:///\\neusa1\FinDPlanEstrateFinan\ANAPYP5\ControlPresupuestal\2014\dic%2014\PRESENTACION%20PYG%20NUEVO%20FORMATO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15\dic%2015\PRESENTACION%20PYG%20NUEVO%20FORMATO.xlsx" TargetMode="External"/><Relationship Id="rId1" Type="http://schemas.openxmlformats.org/officeDocument/2006/relationships/externalLinkPath" Target="file:///\\neusa1\FinDPlanEstrateFinan\ANAPYP5\ControlPresupuestal\2015\dic%2015\PRESENTACION%20PYG%20NUEVO%20FORMATO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16\dic%2016\PRESENTACION%20PYG%20NUEVO%20FORMATO.xlsx" TargetMode="External"/><Relationship Id="rId1" Type="http://schemas.openxmlformats.org/officeDocument/2006/relationships/externalLinkPath" Target="file:///\\neusa1\FinDPlanEstrateFinan\ANAPYP5\ControlPresupuestal\2016\dic%2016\PRESENTACION%20PYG%20NUEVO%20FORMATO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17\dic%2017\PRESENTACION%20PYG%20NUEVO%20FORMATO%20IFRS.xlsx" TargetMode="External"/><Relationship Id="rId1" Type="http://schemas.openxmlformats.org/officeDocument/2006/relationships/externalLinkPath" Target="file:///\\neusa1\FinDPlanEstrateFinan\ANAPYP5\ControlPresupuestal\2017\dic%2017\PRESENTACION%20PYG%20NUEVO%20FORMATO%20IFRS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18\dic%2018\PRESENTACION%20PYG%20NUEVO%20FORMATO%20IFRS.xlsx" TargetMode="External"/><Relationship Id="rId1" Type="http://schemas.openxmlformats.org/officeDocument/2006/relationships/externalLinkPath" Target="file:///\\neusa1\FinDPlanEstrateFinan\ANAPYP5\ControlPresupuestal\2018\dic%2018\PRESENTACION%20PYG%20NUEVO%20FORMATO%20IFR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19\dic%2019\PRESENTACION%20PYG%20NUEVO%20FORMATO%20IFRS1.xlsx" TargetMode="External"/><Relationship Id="rId1" Type="http://schemas.openxmlformats.org/officeDocument/2006/relationships/externalLinkPath" Target="file:///\\neusa1\FinDPlanEstrateFinan\ANAPYP5\ControlPresupuestal\2019\dic%2019\PRESENTACION%20PYG%20NUEVO%20FORMATO%20IFRS1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20\dic%2020\PRESENTACION%20PYG%20NUEVO%20FORMATO%20IFRS.xlsx" TargetMode="External"/><Relationship Id="rId1" Type="http://schemas.openxmlformats.org/officeDocument/2006/relationships/externalLinkPath" Target="file:///\\neusa1\FinDPlanEstrateFinan\ANAPYP5\ControlPresupuestal\2020\dic%2020\PRESENTACION%20PYG%20NUEVO%20FORMATO%20IFRS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21\Dic%2021\PRESENTACION%20PYG%20NUEVO%20FORMATO%20IFRS.xlsx" TargetMode="External"/><Relationship Id="rId1" Type="http://schemas.openxmlformats.org/officeDocument/2006/relationships/externalLinkPath" Target="file:///\\neusa1\FinDPlanEstrateFinan\ANAPYP5\ControlPresupuestal\2021\Dic%2021\PRESENTACION%20PYG%20NUEVO%20FORMATO%20IFRS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22\Dic%2022\PRESENTACION%20PYG%20NUEVO%20FORMATO%20IFRS.xlsx" TargetMode="External"/><Relationship Id="rId1" Type="http://schemas.openxmlformats.org/officeDocument/2006/relationships/externalLinkPath" Target="file:///\\neusa1\FinDPlanEstrateFinan\ANAPYP5\ControlPresupuestal\2022\Dic%2022\PRESENTACION%20PYG%20NUEVO%20FORMATO%20IFRS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23\Dic%2023\PRESENTACION%20PYG%20NUEVO%20FORMATO%20IFRS.xlsx" TargetMode="External"/><Relationship Id="rId1" Type="http://schemas.openxmlformats.org/officeDocument/2006/relationships/externalLinkPath" Target="file:///\\neusa1\FinDPlanEstrateFinan\ANAPYP5\ControlPresupuestal\2023\Dic%2023\PRESENTACION%20PYG%20NUEVO%20FORMATO%20IFRS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24\Dic%2024\PRESENTACION%20PYG%20NUEVO%20FORMATO%20IFRS.xlsx" TargetMode="External"/><Relationship Id="rId1" Type="http://schemas.openxmlformats.org/officeDocument/2006/relationships/externalLinkPath" Target="file:///\\neusa1\FinDPlanEstrateFinan\ANAPYP5\ControlPresupuestal\2024\Dic%2024\PRESENTACION%20PYG%20NUEVO%20FORMATO%20IFRS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eusa1\FinDPlanEstrateFinan\ANAPYP5\ControlPresupuestal\2025\Dic25\PRESENTACION%20PYG%20NUEVO%20FORMATO%20IFRS-Retransmision.xlsx" TargetMode="External"/><Relationship Id="rId1" Type="http://schemas.openxmlformats.org/officeDocument/2006/relationships/externalLinkPath" Target="file:///\\neusa1\FinDPlanEstrateFinan\ANAPYP5\ControlPresupuestal\2025\Dic25\PRESENTACION%20PYG%20NUEVO%20FORMATO%20IFRS-Retransmis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YG PRESUPUESTO"/>
      <sheetName val="PYG NUEVA PRES EJECUCION"/>
      <sheetName val="PYG NUEVA PRESENTACION"/>
      <sheetName val="PYG JUNTA PRES SB"/>
      <sheetName val="PYG JUNTA PRES ACUM"/>
      <sheetName val="cifras mensuales"/>
      <sheetName val="Hoja1"/>
      <sheetName val="BASE EJECUCION"/>
    </sheetNames>
    <sheetDataSet>
      <sheetData sheetId="0">
        <row r="57">
          <cell r="D57">
            <v>32790.077908983025</v>
          </cell>
          <cell r="E57">
            <v>32128.51999336536</v>
          </cell>
          <cell r="F57">
            <v>37128.281537396892</v>
          </cell>
          <cell r="G57">
            <v>36248.373382015947</v>
          </cell>
          <cell r="H57">
            <v>35987.711776337484</v>
          </cell>
          <cell r="I57">
            <v>34904.228120450076</v>
          </cell>
          <cell r="J57">
            <v>36037.159659434183</v>
          </cell>
          <cell r="K57">
            <v>34312.458634863899</v>
          </cell>
          <cell r="L57">
            <v>33945.279755463183</v>
          </cell>
          <cell r="M57">
            <v>35289.013715147557</v>
          </cell>
          <cell r="N57">
            <v>34484.083313307143</v>
          </cell>
          <cell r="O57">
            <v>36786.444008420447</v>
          </cell>
        </row>
        <row r="78">
          <cell r="D78">
            <v>14093.620264434951</v>
          </cell>
          <cell r="E78">
            <v>13900.049437858104</v>
          </cell>
          <cell r="F78">
            <v>14386.374721816268</v>
          </cell>
          <cell r="G78">
            <v>14315.991990494918</v>
          </cell>
          <cell r="H78">
            <v>14489.77260139857</v>
          </cell>
          <cell r="I78">
            <v>14418.028754992763</v>
          </cell>
          <cell r="J78">
            <v>14617.887918750595</v>
          </cell>
          <cell r="K78">
            <v>14679.565901569938</v>
          </cell>
          <cell r="L78">
            <v>14598.086221905707</v>
          </cell>
          <cell r="M78">
            <v>14801.535549246313</v>
          </cell>
          <cell r="N78">
            <v>14709.143342629954</v>
          </cell>
          <cell r="O78">
            <v>14927.300526272693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YG PRESUPUESTO"/>
      <sheetName val="PYG NUEVA PRES EJECUCION"/>
      <sheetName val="PYG NUEVA PRESENTACION"/>
      <sheetName val="PYG JUNTA PRES SB"/>
      <sheetName val="PYG JUNTA PRES ACUM"/>
      <sheetName val="cifras mensuales"/>
      <sheetName val="Hoja1"/>
      <sheetName val="BASE EJECUCION"/>
      <sheetName val="Otra Cartera"/>
    </sheetNames>
    <sheetDataSet>
      <sheetData sheetId="0">
        <row r="60">
          <cell r="D60">
            <v>30695.298207016058</v>
          </cell>
          <cell r="E60">
            <v>30416.557877666655</v>
          </cell>
          <cell r="F60">
            <v>33697.311141683407</v>
          </cell>
          <cell r="G60">
            <v>34520.567238962773</v>
          </cell>
          <cell r="H60">
            <v>33517.787777975129</v>
          </cell>
          <cell r="I60">
            <v>33378.235074134049</v>
          </cell>
          <cell r="J60">
            <v>34680.569732790282</v>
          </cell>
          <cell r="K60">
            <v>34500.370875939581</v>
          </cell>
          <cell r="L60">
            <v>34105.142513812476</v>
          </cell>
          <cell r="M60">
            <v>35446.46405673134</v>
          </cell>
          <cell r="N60">
            <v>35438.632976379384</v>
          </cell>
          <cell r="O60">
            <v>35205.804590990723</v>
          </cell>
        </row>
        <row r="81">
          <cell r="D81">
            <v>11929.845301432179</v>
          </cell>
          <cell r="E81">
            <v>11612.756042107814</v>
          </cell>
          <cell r="F81">
            <v>12219.583536825376</v>
          </cell>
          <cell r="G81">
            <v>12256.670245216828</v>
          </cell>
          <cell r="H81">
            <v>12541.310986274913</v>
          </cell>
          <cell r="I81">
            <v>12569.501682184005</v>
          </cell>
          <cell r="J81">
            <v>12841.25629590105</v>
          </cell>
          <cell r="K81">
            <v>12965.784595218889</v>
          </cell>
          <cell r="L81">
            <v>12942.554453523537</v>
          </cell>
          <cell r="M81">
            <v>13227.573975810654</v>
          </cell>
          <cell r="N81">
            <v>13180.06665324112</v>
          </cell>
          <cell r="O81">
            <v>13561.188079865475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YG PRESUPUESTO"/>
      <sheetName val="PYG NUEVA PRES EJECUCION"/>
      <sheetName val="PYG NUEVA PRESENTACION"/>
      <sheetName val="PYG JUNTA PRES SB"/>
      <sheetName val="PYG JUNTA PRES ACUM"/>
      <sheetName val="cifras mensuales"/>
      <sheetName val="Hoja1"/>
      <sheetName val="BASE EJECUCION"/>
      <sheetName val="Otra Cartera"/>
    </sheetNames>
    <sheetDataSet>
      <sheetData sheetId="0">
        <row r="61">
          <cell r="D61">
            <v>48702.885915624407</v>
          </cell>
          <cell r="E61">
            <v>49126.667453218142</v>
          </cell>
          <cell r="F61">
            <v>52658.899769440875</v>
          </cell>
          <cell r="G61">
            <v>52171.507684440585</v>
          </cell>
          <cell r="H61">
            <v>53819.20806508878</v>
          </cell>
          <cell r="I61">
            <v>54771.35983740518</v>
          </cell>
          <cell r="J61">
            <v>57141.011161915405</v>
          </cell>
          <cell r="K61">
            <v>58398.548847401966</v>
          </cell>
          <cell r="L61">
            <v>59436.635763009799</v>
          </cell>
          <cell r="M61">
            <v>61032.265569597606</v>
          </cell>
          <cell r="N61">
            <v>61699.402000504619</v>
          </cell>
          <cell r="O61">
            <v>62378.801356091462</v>
          </cell>
        </row>
        <row r="83">
          <cell r="D83">
            <v>16148.406349484414</v>
          </cell>
          <cell r="E83">
            <v>16443.325839939072</v>
          </cell>
          <cell r="F83">
            <v>17195.569465043904</v>
          </cell>
          <cell r="G83">
            <v>17324.651314703486</v>
          </cell>
          <cell r="H83">
            <v>17943.698743044526</v>
          </cell>
          <cell r="I83">
            <v>18257.877630002175</v>
          </cell>
          <cell r="J83">
            <v>18629.571163170131</v>
          </cell>
          <cell r="K83">
            <v>18862.976621251128</v>
          </cell>
          <cell r="L83">
            <v>18742.834521805442</v>
          </cell>
          <cell r="M83">
            <v>18969.628297434101</v>
          </cell>
          <cell r="N83">
            <v>18548.792210220268</v>
          </cell>
          <cell r="O83">
            <v>18806.491239585608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YG NUEVA PRESENTACION"/>
      <sheetName val="Hoja1"/>
      <sheetName val="BASE EJECUCION"/>
      <sheetName val="PYG NUEVA PRES EJECUCION"/>
      <sheetName val="cifras mensuales"/>
      <sheetName val="Otra Cartera"/>
      <sheetName val="PYG JUNTA PRES SB"/>
      <sheetName val="PYG JUNTA PRES SB ACUM"/>
      <sheetName val="PYG JUNTA PRES ACUM"/>
      <sheetName val="PYG PRESUPUEST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63">
          <cell r="D63">
            <v>61331.798002306605</v>
          </cell>
          <cell r="E63">
            <v>60674.786562767847</v>
          </cell>
          <cell r="F63">
            <v>65608.881801703508</v>
          </cell>
          <cell r="G63">
            <v>64808.020317109447</v>
          </cell>
          <cell r="H63">
            <v>66398.538399304147</v>
          </cell>
          <cell r="I63">
            <v>66731.439805295973</v>
          </cell>
          <cell r="J63">
            <v>67152.326625880232</v>
          </cell>
          <cell r="K63">
            <v>69223.898253083564</v>
          </cell>
          <cell r="L63">
            <v>69391.287762713371</v>
          </cell>
          <cell r="M63">
            <v>71003.94222564307</v>
          </cell>
          <cell r="N63">
            <v>72013.463669955192</v>
          </cell>
          <cell r="O63">
            <v>82593.712888649694</v>
          </cell>
        </row>
        <row r="85">
          <cell r="D85">
            <v>21230.248937401037</v>
          </cell>
          <cell r="E85">
            <v>20717.547625202518</v>
          </cell>
          <cell r="F85">
            <v>20494.133882468475</v>
          </cell>
          <cell r="G85">
            <v>21507.966944576099</v>
          </cell>
          <cell r="H85">
            <v>22099.402830220311</v>
          </cell>
          <cell r="I85">
            <v>21685.169748274333</v>
          </cell>
          <cell r="J85">
            <v>21792.670334259845</v>
          </cell>
          <cell r="K85">
            <v>22880.901615861691</v>
          </cell>
          <cell r="L85">
            <v>22594.048218141899</v>
          </cell>
          <cell r="M85">
            <v>22816.505932854223</v>
          </cell>
          <cell r="N85">
            <v>22396.657885139241</v>
          </cell>
          <cell r="O85">
            <v>23570.554673733128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YG NUEVA PRESENTACION"/>
      <sheetName val="Hoja1"/>
      <sheetName val="BASE EJECUCION"/>
      <sheetName val="PYG NUEVA PRES EJECUCION"/>
      <sheetName val="cifras mensuales"/>
      <sheetName val="Otra Cartera"/>
      <sheetName val="PYG JUNTA PRES SB"/>
      <sheetName val="PYG JUNTA PRES SB (2)"/>
      <sheetName val="PYG JUNTA PRES SB ACUM"/>
      <sheetName val="BALANCE PRES SB"/>
      <sheetName val="PYG JUNTA PRES ACUM"/>
      <sheetName val="PYG PRESUPUEST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3">
          <cell r="D63">
            <v>56511.270921737152</v>
          </cell>
          <cell r="E63">
            <v>55643.0021232695</v>
          </cell>
          <cell r="F63">
            <v>63497.384954216272</v>
          </cell>
          <cell r="G63">
            <v>58537.33033389756</v>
          </cell>
          <cell r="H63">
            <v>60571.264168359397</v>
          </cell>
          <cell r="I63">
            <v>61455.772903641722</v>
          </cell>
          <cell r="J63">
            <v>66337.000703474798</v>
          </cell>
          <cell r="K63">
            <v>66243.467107830395</v>
          </cell>
          <cell r="L63">
            <v>65126.618559629576</v>
          </cell>
          <cell r="M63">
            <v>65809.724506028433</v>
          </cell>
          <cell r="N63">
            <v>68812.047016905606</v>
          </cell>
          <cell r="O63">
            <v>75367.344535418175</v>
          </cell>
        </row>
        <row r="85">
          <cell r="D85">
            <v>13973.354689899539</v>
          </cell>
          <cell r="E85">
            <v>13111.962749757122</v>
          </cell>
          <cell r="F85">
            <v>12987.052039227068</v>
          </cell>
          <cell r="G85">
            <v>13182.136468922454</v>
          </cell>
          <cell r="H85">
            <v>13793.82312956908</v>
          </cell>
          <cell r="I85">
            <v>14246.441988221199</v>
          </cell>
          <cell r="J85">
            <v>14766.058660192595</v>
          </cell>
          <cell r="K85">
            <v>15048.606484654056</v>
          </cell>
          <cell r="L85">
            <v>15210.191904310497</v>
          </cell>
          <cell r="M85">
            <v>15886.610114547811</v>
          </cell>
          <cell r="N85">
            <v>16182.411607081516</v>
          </cell>
          <cell r="O85">
            <v>16917.932998585416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YG NUEVA PRESENTACION"/>
      <sheetName val="Hoja1"/>
      <sheetName val="BASE EJECUCION"/>
      <sheetName val="PYG NUEVA PRES EJECUCION"/>
      <sheetName val="cifras mensuales"/>
      <sheetName val="Otra Cartera"/>
      <sheetName val="PYG JUNTA PRES SB"/>
      <sheetName val="PYG JUNTA PRES SB (2)"/>
      <sheetName val="PYG JUNTA PRES SB ACUM"/>
      <sheetName val="BALANCE PRES SB"/>
      <sheetName val="PYG JUNTA PRES ACUM"/>
      <sheetName val="PYG PRESUPUEST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3">
          <cell r="D63">
            <v>61650.117977190799</v>
          </cell>
          <cell r="E63">
            <v>69276.649879479344</v>
          </cell>
          <cell r="F63">
            <v>58076.795237136474</v>
          </cell>
          <cell r="G63">
            <v>57135.374455117715</v>
          </cell>
          <cell r="H63">
            <v>62480.582996670542</v>
          </cell>
          <cell r="I63">
            <v>58484.775860981325</v>
          </cell>
          <cell r="J63">
            <v>59196.954618506999</v>
          </cell>
          <cell r="K63">
            <v>60484.095847184246</v>
          </cell>
          <cell r="L63">
            <v>61384.625898967228</v>
          </cell>
          <cell r="M63">
            <v>62885.479902983796</v>
          </cell>
          <cell r="N63">
            <v>63364.685394820444</v>
          </cell>
          <cell r="O63">
            <v>65927.099982887041</v>
          </cell>
        </row>
        <row r="85">
          <cell r="D85">
            <v>12096.026018327382</v>
          </cell>
          <cell r="E85">
            <v>11692.651175314717</v>
          </cell>
          <cell r="F85">
            <v>12217.076010635725</v>
          </cell>
          <cell r="G85">
            <v>12623.063472337913</v>
          </cell>
          <cell r="H85">
            <v>13079.571061754499</v>
          </cell>
          <cell r="I85">
            <v>13248.582537934368</v>
          </cell>
          <cell r="J85">
            <v>14099.122997477327</v>
          </cell>
          <cell r="K85">
            <v>14561.340864337599</v>
          </cell>
          <cell r="L85">
            <v>14758.735738501069</v>
          </cell>
          <cell r="M85">
            <v>15579.885690979034</v>
          </cell>
          <cell r="N85">
            <v>15498.626382091608</v>
          </cell>
          <cell r="O85">
            <v>15818.548852178592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YG NUEVA PRESENTACION"/>
      <sheetName val="PYG NUEVA PRES EJECUCION"/>
      <sheetName val="Hoja1"/>
      <sheetName val="BASE EJECUCION"/>
      <sheetName val="cifras mensuales"/>
      <sheetName val="Otra Cartera"/>
      <sheetName val="PYG JUNTA PRES SB"/>
      <sheetName val="PYG JUNTA PRES SB (2)"/>
      <sheetName val="PYG JUNTA PRES SB ACUM"/>
      <sheetName val="BALANCE PRES SB"/>
      <sheetName val="PYG JUNTA PRES ACUM"/>
      <sheetName val="PYG PRESUPUEST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3">
          <cell r="D63">
            <v>63725.229914205935</v>
          </cell>
          <cell r="E63">
            <v>65415.265259352978</v>
          </cell>
          <cell r="F63">
            <v>70368.514697734805</v>
          </cell>
          <cell r="G63">
            <v>69374.077526891735</v>
          </cell>
          <cell r="H63">
            <v>70818.204072076362</v>
          </cell>
          <cell r="I63">
            <v>69888.728750856215</v>
          </cell>
          <cell r="J63">
            <v>71207.490530704876</v>
          </cell>
          <cell r="K63">
            <v>72055.689724337324</v>
          </cell>
          <cell r="L63">
            <v>72919.743963731147</v>
          </cell>
          <cell r="M63">
            <v>75234.579967030309</v>
          </cell>
          <cell r="N63">
            <v>75289.523450518114</v>
          </cell>
          <cell r="O63">
            <v>79405.445935437034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YG NUEVA PRESENTACION"/>
      <sheetName val="PYG NUEVA PRES EJECUCION"/>
      <sheetName val="Summary P&amp;L"/>
      <sheetName val="Hoja1"/>
      <sheetName val="BASE EJECUCION"/>
      <sheetName val="Otra Cartera"/>
      <sheetName val="cifras mensuales"/>
      <sheetName val="PYG JUNTA PRES SB"/>
      <sheetName val="PYG JUNTA PRES SB (2)"/>
      <sheetName val="PYG JUNTA PRES SB ACUM"/>
      <sheetName val="PYG JUNTA PRES SB ACUM (2)"/>
      <sheetName val="PYG JUNTA PRES SB ACUM (3)"/>
      <sheetName val="BALANCE PRES SB"/>
      <sheetName val="PYG JUNTA PRES ACUM"/>
      <sheetName val="PYG PRESUPUESTO"/>
      <sheetName val="Hoja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65">
          <cell r="C65">
            <v>82128.103555092719</v>
          </cell>
          <cell r="D65">
            <v>79724.534947023261</v>
          </cell>
          <cell r="E65">
            <v>90636.787861366858</v>
          </cell>
          <cell r="F65">
            <v>78875.848020440608</v>
          </cell>
          <cell r="G65">
            <v>84316.561715054748</v>
          </cell>
          <cell r="H65">
            <v>81591.628930762308</v>
          </cell>
          <cell r="I65">
            <v>82143.602919138953</v>
          </cell>
          <cell r="J65">
            <v>82372.110876232255</v>
          </cell>
          <cell r="K65">
            <v>83426.735220732327</v>
          </cell>
          <cell r="L65">
            <v>85756.241653853765</v>
          </cell>
          <cell r="M65">
            <v>86588.919003799107</v>
          </cell>
          <cell r="N65">
            <v>87389.131249876067</v>
          </cell>
        </row>
        <row r="89">
          <cell r="C89">
            <v>20606.475300367747</v>
          </cell>
          <cell r="D89">
            <v>19258.418337713854</v>
          </cell>
          <cell r="E89">
            <v>20352.877932465653</v>
          </cell>
          <cell r="F89">
            <v>20908.511983224253</v>
          </cell>
          <cell r="G89">
            <v>21464.27168116441</v>
          </cell>
          <cell r="H89">
            <v>20951.35566565302</v>
          </cell>
          <cell r="I89">
            <v>22312.822677317752</v>
          </cell>
          <cell r="J89">
            <v>22737.4821369575</v>
          </cell>
          <cell r="K89">
            <v>22464.958446245542</v>
          </cell>
          <cell r="L89">
            <v>23124.219879069002</v>
          </cell>
          <cell r="M89">
            <v>23246.408345336917</v>
          </cell>
          <cell r="N89">
            <v>23444.684997952456</v>
          </cell>
        </row>
      </sheetData>
      <sheetData sheetId="1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BASE EJECUCION"/>
      <sheetName val="PYG NUEVA PRES EJECUCION"/>
      <sheetName val="Otra Cartera"/>
      <sheetName val="PYG NUEVA PRESENTACION"/>
      <sheetName val="PYG PRESUPUESTO"/>
      <sheetName val="Summary P&amp;L"/>
      <sheetName val="PYG JUNTA PRES SB"/>
      <sheetName val="PYG JUNTA PRES SB (2)"/>
      <sheetName val="PYG JUNTA PRES SB ACUM"/>
      <sheetName val="BALANCE PRES SB"/>
      <sheetName val="PYG JUNTA PRES ACU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65">
          <cell r="C65">
            <v>75661.628297290517</v>
          </cell>
          <cell r="D65">
            <v>74663.431089441758</v>
          </cell>
          <cell r="E65">
            <v>77748.724676647937</v>
          </cell>
          <cell r="F65">
            <v>81918.32014703007</v>
          </cell>
          <cell r="G65">
            <v>79936.927433566729</v>
          </cell>
          <cell r="H65">
            <v>80986.672704775876</v>
          </cell>
          <cell r="I65">
            <v>82157.333083374542</v>
          </cell>
          <cell r="J65">
            <v>83188.122126282455</v>
          </cell>
          <cell r="K65">
            <v>85693.698487573871</v>
          </cell>
          <cell r="L65">
            <v>86354.455163383638</v>
          </cell>
          <cell r="M65">
            <v>92969.208679682037</v>
          </cell>
          <cell r="N65">
            <v>88718.739659897241</v>
          </cell>
        </row>
        <row r="89">
          <cell r="C89">
            <v>18254.639711403248</v>
          </cell>
          <cell r="D89">
            <v>17305.906696277838</v>
          </cell>
          <cell r="E89">
            <v>18360.549261275373</v>
          </cell>
          <cell r="F89">
            <v>18567.845016223509</v>
          </cell>
          <cell r="G89">
            <v>19333.665587871212</v>
          </cell>
          <cell r="H89">
            <v>19118.779101501372</v>
          </cell>
          <cell r="I89">
            <v>20520.263036306296</v>
          </cell>
          <cell r="J89">
            <v>21627.188010330829</v>
          </cell>
          <cell r="K89">
            <v>22248.690953455389</v>
          </cell>
          <cell r="L89">
            <v>24047.825938781352</v>
          </cell>
          <cell r="M89">
            <v>24016.71427782948</v>
          </cell>
          <cell r="N89">
            <v>24262.250361025668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BASE EJECUCION"/>
      <sheetName val="Otra Cartera"/>
      <sheetName val="PYG NUEVA PRES EJECUCION"/>
      <sheetName val="PYG NUEVA PRESENTACION"/>
      <sheetName val="PYG NUEVA PRESENTACION (IFRS)"/>
      <sheetName val="PYG PRESUPUESTO"/>
      <sheetName val="PYG JUNTA PRES SB"/>
      <sheetName val="PYG JUNTA PRES SB (RESERVAS)"/>
      <sheetName val="PYG JUNTA PRES SB ACUM"/>
      <sheetName val="BALANCE PRES SB"/>
      <sheetName val="PYG JUNTA PRES ACU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65">
          <cell r="C65">
            <v>81104.713611400774</v>
          </cell>
          <cell r="D65">
            <v>79129.257307517881</v>
          </cell>
          <cell r="E65">
            <v>83137.781314644322</v>
          </cell>
          <cell r="F65">
            <v>85086.874362168484</v>
          </cell>
          <cell r="G65">
            <v>85512.985221940908</v>
          </cell>
          <cell r="H65">
            <v>85712.329610397734</v>
          </cell>
          <cell r="I65">
            <v>87644.021569282559</v>
          </cell>
          <cell r="J65">
            <v>88634.974852048166</v>
          </cell>
          <cell r="K65">
            <v>89190.834807761785</v>
          </cell>
          <cell r="L65">
            <v>93530.233742057608</v>
          </cell>
          <cell r="M65">
            <v>91582.97620584078</v>
          </cell>
          <cell r="N65">
            <v>92675.767449560211</v>
          </cell>
        </row>
        <row r="89">
          <cell r="C89">
            <v>20618.745536820454</v>
          </cell>
          <cell r="D89">
            <v>19717.93212574756</v>
          </cell>
          <cell r="E89">
            <v>21010.605429227719</v>
          </cell>
          <cell r="F89">
            <v>21015.65532599821</v>
          </cell>
          <cell r="G89">
            <v>22092.662782568077</v>
          </cell>
          <cell r="H89">
            <v>21231.279706975824</v>
          </cell>
          <cell r="I89">
            <v>21767.603138499264</v>
          </cell>
          <cell r="J89">
            <v>22295.395717440166</v>
          </cell>
          <cell r="K89">
            <v>22240.169715475982</v>
          </cell>
          <cell r="L89">
            <v>23002.923832440949</v>
          </cell>
          <cell r="M89">
            <v>22149.374558965672</v>
          </cell>
          <cell r="N89">
            <v>21865.334606038112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BASE EJECUCION"/>
      <sheetName val="Otra Cartera"/>
      <sheetName val="PYG NUEVA PRES EJECUCION"/>
      <sheetName val="PYG NUEVA PRESENTACION"/>
      <sheetName val="PYG PRESUPUESTO"/>
      <sheetName val="PYG JUNTA PRES SB"/>
      <sheetName val="PYG JUNTA PRES SB (RESERVAS)"/>
      <sheetName val="PYG JUNTA PRES SB ACUM"/>
      <sheetName val="BALANCE PRES SB"/>
      <sheetName val="PYG JUNTA PRES ACU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65">
          <cell r="C65">
            <v>94002.141922815194</v>
          </cell>
          <cell r="D65">
            <v>105113.82329688196</v>
          </cell>
          <cell r="E65">
            <v>99048.733206051271</v>
          </cell>
          <cell r="F65">
            <v>100308.00900040563</v>
          </cell>
          <cell r="G65">
            <v>102346.79246108439</v>
          </cell>
          <cell r="H65">
            <v>109585.26537884009</v>
          </cell>
          <cell r="I65">
            <v>104784.66335598506</v>
          </cell>
          <cell r="J65">
            <v>105669.02344344066</v>
          </cell>
          <cell r="K65">
            <v>106979.28137642935</v>
          </cell>
          <cell r="L65">
            <v>109727.74996320512</v>
          </cell>
          <cell r="M65">
            <v>109428.79851727575</v>
          </cell>
          <cell r="N65">
            <v>110919.09727981225</v>
          </cell>
        </row>
        <row r="89">
          <cell r="C89">
            <v>28644.23264091563</v>
          </cell>
          <cell r="D89">
            <v>28815.34341252529</v>
          </cell>
          <cell r="E89">
            <v>30496.199655977267</v>
          </cell>
          <cell r="F89">
            <v>31408.219383916057</v>
          </cell>
          <cell r="G89">
            <v>32895.200654814791</v>
          </cell>
          <cell r="H89">
            <v>32809.248716217415</v>
          </cell>
          <cell r="I89">
            <v>34334.164447190531</v>
          </cell>
          <cell r="J89">
            <v>35114.08246865384</v>
          </cell>
          <cell r="K89">
            <v>34824.354469781094</v>
          </cell>
          <cell r="L89">
            <v>35926.321646070472</v>
          </cell>
          <cell r="M89">
            <v>35069.596572112227</v>
          </cell>
          <cell r="N89">
            <v>34728.623868740986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BASE EJECUCION (3)"/>
      <sheetName val="BASE EJECUCION"/>
      <sheetName val="Otra Cartera"/>
      <sheetName val="PYG NUEVA PRES EJECUCION"/>
      <sheetName val="PYG NUEVA PRESENTACION"/>
      <sheetName val="PYG PRESUPUESTO"/>
      <sheetName val="PYG JUNTA PRES SB"/>
      <sheetName val="PYG JUNTA PRES SB (RESERVAS)"/>
      <sheetName val="PYG JUNTA PRES SB ACUM"/>
      <sheetName val="BALANCE PRES SB"/>
      <sheetName val="PYG JUNTA PRES ACUM"/>
    </sheetNames>
    <sheetDataSet>
      <sheetData sheetId="0"/>
      <sheetData sheetId="1"/>
      <sheetData sheetId="2"/>
      <sheetData sheetId="3"/>
      <sheetData sheetId="4"/>
      <sheetData sheetId="5"/>
      <sheetData sheetId="6">
        <row r="65">
          <cell r="C65">
            <v>110046.25041353916</v>
          </cell>
          <cell r="D65">
            <v>110451.60967493658</v>
          </cell>
          <cell r="E65">
            <v>116046.67053989266</v>
          </cell>
          <cell r="F65">
            <v>116278.28494302968</v>
          </cell>
          <cell r="G65">
            <v>118270.08682325455</v>
          </cell>
          <cell r="H65">
            <v>117211.40887783363</v>
          </cell>
          <cell r="I65">
            <v>118196.96254894293</v>
          </cell>
          <cell r="J65">
            <v>120037.29332810911</v>
          </cell>
          <cell r="K65">
            <v>120845.25650947778</v>
          </cell>
          <cell r="L65">
            <v>123472.37037692472</v>
          </cell>
          <cell r="M65">
            <v>123229.85774917391</v>
          </cell>
          <cell r="N65">
            <v>124781.59192890166</v>
          </cell>
        </row>
        <row r="89">
          <cell r="C89">
            <v>39097.508877360706</v>
          </cell>
          <cell r="D89">
            <v>37287.565966936141</v>
          </cell>
          <cell r="E89">
            <v>39334.541249228445</v>
          </cell>
          <cell r="F89">
            <v>39564.763228065116</v>
          </cell>
          <cell r="G89">
            <v>40153.993006036399</v>
          </cell>
          <cell r="H89">
            <v>38978.386601890292</v>
          </cell>
          <cell r="I89">
            <v>40086.638212155849</v>
          </cell>
          <cell r="J89">
            <v>41028.805196588721</v>
          </cell>
          <cell r="K89">
            <v>40784.662729151431</v>
          </cell>
          <cell r="L89">
            <v>41023.492091425251</v>
          </cell>
          <cell r="M89">
            <v>40017.900865222771</v>
          </cell>
          <cell r="N89">
            <v>40390.618655462909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BASE EJECUCION (3)"/>
      <sheetName val="BASE EJECUCION"/>
      <sheetName val="Otra Cartera"/>
      <sheetName val="PYG NUEVA PRES EJECUCION"/>
      <sheetName val="PYG NUEVA PRESENTACION"/>
      <sheetName val="PYG PRESUPUESTO"/>
      <sheetName val="PYG JUNTA PRES SB"/>
      <sheetName val="PYG JUNTA PRES SB (RESERVAS)"/>
      <sheetName val="PYG JUNTA PRES SB ACUM"/>
      <sheetName val="BALANCE PRES SB"/>
      <sheetName val="PYG JUNTA PRES ACU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65">
          <cell r="C65">
            <v>111766.75973875808</v>
          </cell>
          <cell r="D65">
            <v>111455.1811916062</v>
          </cell>
          <cell r="E65">
            <v>114055.37609214673</v>
          </cell>
          <cell r="F65">
            <v>115746.66478627927</v>
          </cell>
          <cell r="G65">
            <v>115144.86392548197</v>
          </cell>
          <cell r="H65">
            <v>115913.91510009723</v>
          </cell>
          <cell r="I65">
            <v>117374.50767059723</v>
          </cell>
          <cell r="J65">
            <v>119147.34203527408</v>
          </cell>
          <cell r="K65">
            <v>120192.36494956026</v>
          </cell>
          <cell r="L65">
            <v>122677.65001584658</v>
          </cell>
          <cell r="M65">
            <v>123233.65715497665</v>
          </cell>
          <cell r="N65">
            <v>124854.34105056558</v>
          </cell>
        </row>
        <row r="89">
          <cell r="C89">
            <v>31099.12043573389</v>
          </cell>
          <cell r="D89">
            <v>29815.955438960074</v>
          </cell>
          <cell r="E89">
            <v>30681.523538953217</v>
          </cell>
          <cell r="F89">
            <v>30193.939376571991</v>
          </cell>
          <cell r="G89">
            <v>30133.595839636491</v>
          </cell>
          <cell r="H89">
            <v>29987.522561350521</v>
          </cell>
          <cell r="I89">
            <v>30705.965509925551</v>
          </cell>
          <cell r="J89">
            <v>31149.458726957899</v>
          </cell>
          <cell r="K89">
            <v>31153.507224654746</v>
          </cell>
          <cell r="L89">
            <v>31995.930667376728</v>
          </cell>
          <cell r="M89">
            <v>31707.011400087806</v>
          </cell>
          <cell r="N89">
            <v>32181.985177124989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BASE EJECUCION (3)"/>
      <sheetName val="BASE EJECUCION"/>
      <sheetName val="Otra Cartera"/>
      <sheetName val="PYG NUEVA PRES EJECUCION"/>
      <sheetName val="PYG NUEVA PRESENTACION"/>
      <sheetName val="PYG PRESUPUESTO"/>
      <sheetName val="PYG JUNTA PRES ACU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65">
          <cell r="C65">
            <v>121465.31637029511</v>
          </cell>
          <cell r="D65">
            <v>121648.62054242735</v>
          </cell>
          <cell r="E65">
            <v>126746.69000807041</v>
          </cell>
          <cell r="F65">
            <v>123751.86369757801</v>
          </cell>
          <cell r="G65">
            <v>125891.86988606205</v>
          </cell>
          <cell r="H65">
            <v>127389.52684381041</v>
          </cell>
          <cell r="I65">
            <v>128289.67096645222</v>
          </cell>
          <cell r="J65">
            <v>130315.2769492926</v>
          </cell>
          <cell r="K65">
            <v>131617.87462823477</v>
          </cell>
          <cell r="L65">
            <v>133381.38044527266</v>
          </cell>
          <cell r="M65">
            <v>135099.31163825435</v>
          </cell>
          <cell r="N65">
            <v>135786.94734105302</v>
          </cell>
        </row>
        <row r="89">
          <cell r="C89">
            <v>34189.212514180857</v>
          </cell>
          <cell r="D89">
            <v>33271.826532896201</v>
          </cell>
          <cell r="E89">
            <v>34701.616928750067</v>
          </cell>
          <cell r="F89">
            <v>34569.405728632933</v>
          </cell>
          <cell r="G89">
            <v>35422.80860154151</v>
          </cell>
          <cell r="H89">
            <v>35668.385815423462</v>
          </cell>
          <cell r="I89">
            <v>36782.187010754235</v>
          </cell>
          <cell r="J89">
            <v>37748.901291330883</v>
          </cell>
          <cell r="K89">
            <v>38297.230263750906</v>
          </cell>
          <cell r="L89">
            <v>39721.803196250825</v>
          </cell>
          <cell r="M89">
            <v>39562.784579625382</v>
          </cell>
          <cell r="N89">
            <v>40069.157911077462</v>
          </cell>
        </row>
      </sheetData>
      <sheetData sheetId="7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BASE EJECUCION"/>
      <sheetName val="BASE EJECUCION (3)"/>
      <sheetName val="Otra Cartera"/>
      <sheetName val="PYG NUEVA PRES EJECUCION"/>
      <sheetName val="PYG NUEVA PRESENTACION"/>
      <sheetName val="PYG PRESUPUESTO"/>
      <sheetName val="PYG JUNTA PRES ACU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65">
          <cell r="C65">
            <v>124923.91745179573</v>
          </cell>
          <cell r="D65">
            <v>124827.16979065583</v>
          </cell>
          <cell r="E65">
            <v>131211.29938636711</v>
          </cell>
          <cell r="F65">
            <v>128177.39678431301</v>
          </cell>
          <cell r="G65">
            <v>131102.6252164295</v>
          </cell>
          <cell r="H65">
            <v>131499.05851101718</v>
          </cell>
          <cell r="I65">
            <v>133792.32531281721</v>
          </cell>
          <cell r="J65">
            <v>137941.92761732748</v>
          </cell>
          <cell r="K65">
            <v>138650.5588539459</v>
          </cell>
          <cell r="L65">
            <v>144109.76682101368</v>
          </cell>
          <cell r="M65">
            <v>146772.79121668485</v>
          </cell>
          <cell r="N65">
            <v>149062.19419518736</v>
          </cell>
        </row>
        <row r="89">
          <cell r="C89">
            <v>36076.822863523164</v>
          </cell>
          <cell r="D89">
            <v>35616.565777897238</v>
          </cell>
          <cell r="E89">
            <v>37125.374894986293</v>
          </cell>
          <cell r="F89">
            <v>37171.79612581175</v>
          </cell>
          <cell r="G89">
            <v>38300.821872303452</v>
          </cell>
          <cell r="H89">
            <v>38696.349934676095</v>
          </cell>
          <cell r="I89">
            <v>40400.678827009811</v>
          </cell>
          <cell r="J89">
            <v>41534.801094111142</v>
          </cell>
          <cell r="K89">
            <v>42223.391942766299</v>
          </cell>
          <cell r="L89">
            <v>44133.388720470175</v>
          </cell>
          <cell r="M89">
            <v>44829.254397331111</v>
          </cell>
          <cell r="N89">
            <v>46167.525316214211</v>
          </cell>
        </row>
      </sheetData>
      <sheetData sheetId="7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BASE EJECUCION"/>
      <sheetName val="BASE EJECUCION (3)"/>
      <sheetName val="Otra Cartera"/>
      <sheetName val="PYG NUEVA PRES EJECUCION"/>
      <sheetName val="PYG NUEVA PRESENTACION"/>
      <sheetName val="PYG PRESUPUESTO"/>
      <sheetName val="PYG JUNTA PRES ACU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65">
          <cell r="C65">
            <v>110671.71154399018</v>
          </cell>
          <cell r="D65">
            <v>109789.74791661922</v>
          </cell>
          <cell r="E65">
            <v>114855.02821951879</v>
          </cell>
          <cell r="F65">
            <v>112220.30526581018</v>
          </cell>
          <cell r="G65">
            <v>113494.85434162416</v>
          </cell>
          <cell r="H65">
            <v>114477.43824170801</v>
          </cell>
          <cell r="I65">
            <v>115497.71400717743</v>
          </cell>
          <cell r="J65">
            <v>116669.23089703386</v>
          </cell>
          <cell r="K65">
            <v>118003.68620703403</v>
          </cell>
          <cell r="L65">
            <v>118447.8430856968</v>
          </cell>
          <cell r="M65">
            <v>120127.62189555583</v>
          </cell>
          <cell r="N65">
            <v>120606.2958580289</v>
          </cell>
        </row>
        <row r="89">
          <cell r="C89">
            <v>21868.675445590598</v>
          </cell>
          <cell r="D89">
            <v>22124.389865220044</v>
          </cell>
          <cell r="E89">
            <v>21867.661184391</v>
          </cell>
          <cell r="F89">
            <v>21390.390270057436</v>
          </cell>
          <cell r="G89">
            <v>21805.801610078466</v>
          </cell>
          <cell r="H89">
            <v>21485.784033675489</v>
          </cell>
          <cell r="I89">
            <v>22758.837681853536</v>
          </cell>
          <cell r="J89">
            <v>23017.798110886815</v>
          </cell>
          <cell r="K89">
            <v>22848.265331488594</v>
          </cell>
          <cell r="L89">
            <v>23489.790420457255</v>
          </cell>
          <cell r="M89">
            <v>24204.786344012995</v>
          </cell>
          <cell r="N89">
            <v>24663.8150851102</v>
          </cell>
        </row>
      </sheetData>
      <sheetData sheetId="7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BASE EJECUCION"/>
      <sheetName val="BASE EJECUCION (3)"/>
      <sheetName val="Otra Cartera"/>
      <sheetName val="PYG NUEVA PRES EJECUCION"/>
      <sheetName val="PYG NUEVA PRESENTACION"/>
      <sheetName val="PYG PRESUPUESTO"/>
      <sheetName val="PYG JUNTA PRES ACU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65">
          <cell r="C65">
            <v>115220.00252379446</v>
          </cell>
          <cell r="D65">
            <v>116159.96166897743</v>
          </cell>
          <cell r="E65">
            <v>126448.1769818617</v>
          </cell>
          <cell r="F65">
            <v>123123.12980628374</v>
          </cell>
          <cell r="G65">
            <v>126329.88046460063</v>
          </cell>
          <cell r="H65">
            <v>129474.71135746018</v>
          </cell>
          <cell r="I65">
            <v>130692.43069344833</v>
          </cell>
          <cell r="J65">
            <v>134278.89391026655</v>
          </cell>
          <cell r="K65">
            <v>136149.26468689731</v>
          </cell>
          <cell r="L65">
            <v>139919.22720250391</v>
          </cell>
          <cell r="M65">
            <v>142288.46809269104</v>
          </cell>
          <cell r="N65">
            <v>145135.13501523802</v>
          </cell>
        </row>
        <row r="89">
          <cell r="C89">
            <v>29314.292825535005</v>
          </cell>
          <cell r="D89">
            <v>28173.465790652092</v>
          </cell>
          <cell r="E89">
            <v>31848.695203592666</v>
          </cell>
          <cell r="F89">
            <v>32876.32257645957</v>
          </cell>
          <cell r="G89">
            <v>35056.19781380018</v>
          </cell>
          <cell r="H89">
            <v>35074.178889353541</v>
          </cell>
          <cell r="I89">
            <v>37154.589424556536</v>
          </cell>
          <cell r="J89">
            <v>38696.075496413454</v>
          </cell>
          <cell r="K89">
            <v>39238.108440045573</v>
          </cell>
          <cell r="L89">
            <v>41610.989132002185</v>
          </cell>
          <cell r="M89">
            <v>41264.348590395217</v>
          </cell>
          <cell r="N89">
            <v>43547.799342553648</v>
          </cell>
        </row>
      </sheetData>
      <sheetData sheetId="7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BASE EJECUCION"/>
      <sheetName val="BASE EJECUCION (3)"/>
      <sheetName val="Otra Cartera"/>
      <sheetName val="PYG NUEVA PRES EJECUCION"/>
      <sheetName val="PYG NUEVA PRESENTACION"/>
      <sheetName val="PYG PRESUPUESTO"/>
      <sheetName val="PYG JUNTA PRES ACU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65">
          <cell r="C65">
            <v>172145.82076901247</v>
          </cell>
          <cell r="D65">
            <v>173635.77103101369</v>
          </cell>
          <cell r="E65">
            <v>189277.99339600446</v>
          </cell>
          <cell r="F65">
            <v>184012.47116155495</v>
          </cell>
          <cell r="G65">
            <v>190200.48085718963</v>
          </cell>
          <cell r="H65">
            <v>192344.12311074746</v>
          </cell>
          <cell r="I65">
            <v>194560.40690211888</v>
          </cell>
          <cell r="J65">
            <v>198257.70303915458</v>
          </cell>
          <cell r="K65">
            <v>197783.92632597953</v>
          </cell>
          <cell r="L65">
            <v>201403.21685365605</v>
          </cell>
          <cell r="M65">
            <v>203302.19663741507</v>
          </cell>
          <cell r="N65">
            <v>202826.0394818903</v>
          </cell>
        </row>
        <row r="89">
          <cell r="C89">
            <v>105231.55030404028</v>
          </cell>
          <cell r="D89">
            <v>99974.577501029868</v>
          </cell>
          <cell r="E89">
            <v>107071.77255371067</v>
          </cell>
          <cell r="F89">
            <v>106229.70469137374</v>
          </cell>
          <cell r="G89">
            <v>109430.93865569722</v>
          </cell>
          <cell r="H89">
            <v>107690.45792285437</v>
          </cell>
          <cell r="I89">
            <v>104860.87717804995</v>
          </cell>
          <cell r="J89">
            <v>101291.56415997895</v>
          </cell>
          <cell r="K89">
            <v>97866.684437386459</v>
          </cell>
          <cell r="L89">
            <v>98173.648258162386</v>
          </cell>
          <cell r="M89">
            <v>92316.285937773282</v>
          </cell>
          <cell r="N89">
            <v>91864.726678867373</v>
          </cell>
        </row>
      </sheetData>
      <sheetData sheetId="7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BASE EJECUCION"/>
      <sheetName val="BASE EJECUCION (3)"/>
      <sheetName val="Otra Cartera"/>
      <sheetName val="PYG NUEVA PRES EJECUCION"/>
      <sheetName val="PYG NUEVA PRESENTACION"/>
      <sheetName val="PYG PRESUPUESTO"/>
      <sheetName val="PYG JUNTA PRES ACU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65">
          <cell r="C65">
            <v>184151.09840316817</v>
          </cell>
          <cell r="D65">
            <v>177485.76815507616</v>
          </cell>
          <cell r="E65">
            <v>184853.61803973161</v>
          </cell>
          <cell r="F65">
            <v>188536.82765364769</v>
          </cell>
          <cell r="G65">
            <v>187880.85699738801</v>
          </cell>
          <cell r="H65">
            <v>182872.13028724998</v>
          </cell>
          <cell r="I65">
            <v>187245.8506458209</v>
          </cell>
          <cell r="J65">
            <v>197882.5025061295</v>
          </cell>
          <cell r="K65">
            <v>198711.18802637421</v>
          </cell>
          <cell r="L65">
            <v>204061.95118324066</v>
          </cell>
          <cell r="M65">
            <v>204386.91615829297</v>
          </cell>
          <cell r="N65">
            <v>209484.50737809532</v>
          </cell>
        </row>
        <row r="89">
          <cell r="C89">
            <v>115902.48129160175</v>
          </cell>
          <cell r="D89">
            <v>107944.35630411262</v>
          </cell>
          <cell r="E89">
            <v>109662.97934558504</v>
          </cell>
          <cell r="F89">
            <v>103396.34513934424</v>
          </cell>
          <cell r="G89">
            <v>98204.69247971478</v>
          </cell>
          <cell r="H89">
            <v>96441.639648433382</v>
          </cell>
          <cell r="I89">
            <v>96471.436547676683</v>
          </cell>
          <cell r="J89">
            <v>93104.377068108341</v>
          </cell>
          <cell r="K89">
            <v>91158.598000000537</v>
          </cell>
          <cell r="L89">
            <v>90261.951567698168</v>
          </cell>
          <cell r="M89">
            <v>85622.599369685529</v>
          </cell>
          <cell r="N89">
            <v>86908.376441476474</v>
          </cell>
        </row>
      </sheetData>
      <sheetData sheetId="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BASE EJECUCION"/>
      <sheetName val="BASE EJECUCION (3)"/>
      <sheetName val="Otra Cartera"/>
      <sheetName val="PYG NUEVA PRES EJECUCION"/>
      <sheetName val="PYG NUEVA PRESENTACION"/>
      <sheetName val="PYG PRESUPUESTO"/>
      <sheetName val="PYG JUNTA PRES ACUM"/>
    </sheetNames>
    <sheetDataSet>
      <sheetData sheetId="0"/>
      <sheetData sheetId="1"/>
      <sheetData sheetId="2"/>
      <sheetData sheetId="3"/>
      <sheetData sheetId="4"/>
      <sheetData sheetId="5"/>
      <sheetData sheetId="6">
        <row r="65">
          <cell r="C65">
            <v>179970.62287676529</v>
          </cell>
          <cell r="D65">
            <v>176134.48565197026</v>
          </cell>
          <cell r="E65">
            <v>189675.95295006272</v>
          </cell>
          <cell r="F65">
            <v>182274.27632318679</v>
          </cell>
          <cell r="G65">
            <v>185302.18837719891</v>
          </cell>
          <cell r="H65">
            <v>182263.15441294626</v>
          </cell>
          <cell r="I65">
            <v>186291.0539210673</v>
          </cell>
          <cell r="J65">
            <v>188210.70411639023</v>
          </cell>
          <cell r="K65">
            <v>188328.31622986845</v>
          </cell>
          <cell r="L65">
            <v>189937.41801433597</v>
          </cell>
          <cell r="M65">
            <v>188438.82639765972</v>
          </cell>
          <cell r="N65">
            <v>192556.88572927966</v>
          </cell>
        </row>
        <row r="89">
          <cell r="C89">
            <v>85327.260523086487</v>
          </cell>
          <cell r="D89">
            <v>80330.906627408171</v>
          </cell>
          <cell r="E89">
            <v>83402.950553033384</v>
          </cell>
          <cell r="F89">
            <v>75987.7636603094</v>
          </cell>
          <cell r="G89">
            <v>74571.493847846185</v>
          </cell>
          <cell r="H89">
            <v>72846.202588755055</v>
          </cell>
          <cell r="I89">
            <v>71489.431834838557</v>
          </cell>
          <cell r="J89">
            <v>68879.031916300853</v>
          </cell>
          <cell r="K89">
            <v>67057.779358819869</v>
          </cell>
          <cell r="L89">
            <v>65698.14942016323</v>
          </cell>
          <cell r="M89">
            <v>64393.972409130743</v>
          </cell>
          <cell r="N89">
            <v>65443.390516804815</v>
          </cell>
        </row>
      </sheetData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T17"/>
  <sheetViews>
    <sheetView tabSelected="1" workbookViewId="0">
      <selection activeCell="B5" sqref="B5"/>
    </sheetView>
  </sheetViews>
  <sheetFormatPr baseColWidth="10" defaultColWidth="9.109375" defaultRowHeight="14.4" x14ac:dyDescent="0.3"/>
  <cols>
    <col min="1" max="1" width="34.44140625" customWidth="1"/>
    <col min="2" max="2" width="11.6640625" customWidth="1"/>
    <col min="3" max="5" width="6.5546875" bestFit="1" customWidth="1"/>
  </cols>
  <sheetData>
    <row r="1" spans="1:254" x14ac:dyDescent="0.3">
      <c r="A1" s="3" t="s">
        <v>0</v>
      </c>
      <c r="B1" s="4">
        <v>2005</v>
      </c>
      <c r="C1" s="4">
        <v>2005</v>
      </c>
      <c r="D1" s="4">
        <v>2005</v>
      </c>
      <c r="E1" s="4">
        <v>2005</v>
      </c>
      <c r="F1" s="4">
        <v>2005</v>
      </c>
      <c r="G1" s="4">
        <v>2005</v>
      </c>
      <c r="H1" s="4">
        <v>2005</v>
      </c>
      <c r="I1" s="4">
        <v>2005</v>
      </c>
      <c r="J1" s="4">
        <v>2005</v>
      </c>
      <c r="K1" s="4">
        <v>2005</v>
      </c>
      <c r="L1" s="4">
        <v>2005</v>
      </c>
      <c r="M1" s="8">
        <v>2005</v>
      </c>
      <c r="N1" s="4">
        <v>2006</v>
      </c>
      <c r="O1" s="4">
        <v>2006</v>
      </c>
      <c r="P1" s="4">
        <v>2006</v>
      </c>
      <c r="Q1" s="4">
        <v>2006</v>
      </c>
      <c r="R1" s="4">
        <v>2006</v>
      </c>
      <c r="S1" s="4">
        <v>2006</v>
      </c>
      <c r="T1" s="4">
        <v>2006</v>
      </c>
      <c r="U1" s="4">
        <v>2006</v>
      </c>
      <c r="V1" s="4">
        <v>2006</v>
      </c>
      <c r="W1" s="4">
        <v>2006</v>
      </c>
      <c r="X1" s="4">
        <v>2006</v>
      </c>
      <c r="Y1" s="8">
        <v>2006</v>
      </c>
      <c r="Z1" s="4">
        <v>2007</v>
      </c>
      <c r="AA1" s="4">
        <v>2007</v>
      </c>
      <c r="AB1" s="4">
        <v>2007</v>
      </c>
      <c r="AC1" s="4">
        <v>2007</v>
      </c>
      <c r="AD1" s="4">
        <v>2007</v>
      </c>
      <c r="AE1" s="4">
        <v>2007</v>
      </c>
      <c r="AF1" s="4">
        <v>2007</v>
      </c>
      <c r="AG1" s="4">
        <v>2007</v>
      </c>
      <c r="AH1" s="4">
        <v>2007</v>
      </c>
      <c r="AI1" s="4">
        <v>2007</v>
      </c>
      <c r="AJ1" s="4">
        <v>2007</v>
      </c>
      <c r="AK1" s="8">
        <v>2007</v>
      </c>
      <c r="AL1" s="13">
        <v>2008</v>
      </c>
      <c r="AM1" s="13">
        <v>2008</v>
      </c>
      <c r="AN1" s="13">
        <v>2008</v>
      </c>
      <c r="AO1" s="13">
        <v>2008</v>
      </c>
      <c r="AP1" s="13">
        <v>2008</v>
      </c>
      <c r="AQ1" s="13">
        <v>2008</v>
      </c>
      <c r="AR1" s="13">
        <v>2008</v>
      </c>
      <c r="AS1" s="13">
        <v>2008</v>
      </c>
      <c r="AT1" s="13">
        <v>2008</v>
      </c>
      <c r="AU1" s="13">
        <v>2008</v>
      </c>
      <c r="AV1" s="13">
        <v>2008</v>
      </c>
      <c r="AW1" s="8">
        <v>2008</v>
      </c>
      <c r="AX1" s="13">
        <v>2009</v>
      </c>
      <c r="AY1" s="13">
        <v>2009</v>
      </c>
      <c r="AZ1" s="13">
        <v>2009</v>
      </c>
      <c r="BA1" s="13">
        <v>2009</v>
      </c>
      <c r="BB1" s="13">
        <v>2009</v>
      </c>
      <c r="BC1" s="13">
        <v>2009</v>
      </c>
      <c r="BD1" s="13">
        <v>2009</v>
      </c>
      <c r="BE1" s="13">
        <v>2009</v>
      </c>
      <c r="BF1" s="13">
        <v>2009</v>
      </c>
      <c r="BG1" s="13">
        <v>2009</v>
      </c>
      <c r="BH1" s="13">
        <v>2009</v>
      </c>
      <c r="BI1" s="8">
        <v>2009</v>
      </c>
      <c r="BJ1" s="13">
        <v>2010</v>
      </c>
      <c r="BK1" s="13">
        <v>2010</v>
      </c>
      <c r="BL1" s="13">
        <v>2010</v>
      </c>
      <c r="BM1" s="13">
        <v>2010</v>
      </c>
      <c r="BN1" s="13">
        <v>2010</v>
      </c>
      <c r="BO1" s="13">
        <v>2010</v>
      </c>
      <c r="BP1" s="13">
        <v>2010</v>
      </c>
      <c r="BQ1" s="13">
        <v>2010</v>
      </c>
      <c r="BR1" s="13">
        <v>2010</v>
      </c>
      <c r="BS1" s="13">
        <v>2010</v>
      </c>
      <c r="BT1" s="13">
        <v>2010</v>
      </c>
      <c r="BU1" s="8">
        <v>2010</v>
      </c>
      <c r="BV1" s="13">
        <v>2011</v>
      </c>
      <c r="BW1" s="13">
        <v>2011</v>
      </c>
      <c r="BX1" s="13">
        <v>2011</v>
      </c>
      <c r="BY1" s="13">
        <v>2011</v>
      </c>
      <c r="BZ1" s="13">
        <v>2011</v>
      </c>
      <c r="CA1" s="13">
        <v>2011</v>
      </c>
      <c r="CB1" s="13">
        <v>2011</v>
      </c>
      <c r="CC1" s="13">
        <v>2011</v>
      </c>
      <c r="CD1" s="13">
        <v>2011</v>
      </c>
      <c r="CE1" s="13">
        <v>2011</v>
      </c>
      <c r="CF1" s="13">
        <v>2011</v>
      </c>
      <c r="CG1" s="8">
        <v>2011</v>
      </c>
      <c r="CH1" s="13">
        <v>2012</v>
      </c>
      <c r="CI1" s="13">
        <v>2012</v>
      </c>
      <c r="CJ1" s="13">
        <v>2012</v>
      </c>
      <c r="CK1" s="13">
        <v>2012</v>
      </c>
      <c r="CL1" s="13">
        <v>2012</v>
      </c>
      <c r="CM1" s="13">
        <v>2012</v>
      </c>
      <c r="CN1" s="13">
        <v>2012</v>
      </c>
      <c r="CO1" s="13">
        <v>2012</v>
      </c>
      <c r="CP1" s="13">
        <v>2012</v>
      </c>
      <c r="CQ1" s="13">
        <v>2012</v>
      </c>
      <c r="CR1" s="13">
        <v>2012</v>
      </c>
      <c r="CS1" s="8">
        <v>2012</v>
      </c>
      <c r="CT1" s="13">
        <v>2013</v>
      </c>
      <c r="CU1" s="13">
        <v>2013</v>
      </c>
      <c r="CV1" s="13">
        <v>2013</v>
      </c>
      <c r="CW1" s="13">
        <v>2013</v>
      </c>
      <c r="CX1" s="13">
        <v>2013</v>
      </c>
      <c r="CY1" s="13">
        <v>2013</v>
      </c>
      <c r="CZ1" s="13">
        <v>2013</v>
      </c>
      <c r="DA1" s="13">
        <v>2013</v>
      </c>
      <c r="DB1" s="13">
        <v>2013</v>
      </c>
      <c r="DC1" s="13">
        <v>2013</v>
      </c>
      <c r="DD1" s="13">
        <v>2013</v>
      </c>
      <c r="DE1" s="8">
        <v>2013</v>
      </c>
      <c r="DF1" s="13">
        <v>2014</v>
      </c>
      <c r="DG1" s="13">
        <v>2014</v>
      </c>
      <c r="DH1" s="13">
        <v>2014</v>
      </c>
      <c r="DI1" s="13">
        <v>2014</v>
      </c>
      <c r="DJ1" s="13">
        <v>2014</v>
      </c>
      <c r="DK1" s="13">
        <v>2014</v>
      </c>
      <c r="DL1" s="13">
        <v>2014</v>
      </c>
      <c r="DM1" s="13">
        <v>2014</v>
      </c>
      <c r="DN1" s="13">
        <v>2014</v>
      </c>
      <c r="DO1" s="13">
        <v>2014</v>
      </c>
      <c r="DP1" s="13">
        <v>2014</v>
      </c>
      <c r="DQ1" s="8">
        <v>2014</v>
      </c>
      <c r="DR1" s="13">
        <v>2015</v>
      </c>
      <c r="DS1" s="13">
        <v>2015</v>
      </c>
      <c r="DT1" s="13">
        <v>2015</v>
      </c>
      <c r="DU1" s="13">
        <v>2015</v>
      </c>
      <c r="DV1" s="13">
        <v>2015</v>
      </c>
      <c r="DW1" s="13">
        <v>2015</v>
      </c>
      <c r="DX1" s="13">
        <v>2015</v>
      </c>
      <c r="DY1" s="13">
        <v>2015</v>
      </c>
      <c r="DZ1" s="13">
        <v>2015</v>
      </c>
      <c r="EA1" s="13">
        <v>2015</v>
      </c>
      <c r="EB1" s="13">
        <v>2015</v>
      </c>
      <c r="EC1" s="8">
        <v>2015</v>
      </c>
      <c r="ED1" s="13">
        <v>2016</v>
      </c>
      <c r="EE1" s="13">
        <v>2016</v>
      </c>
      <c r="EF1" s="13">
        <v>2016</v>
      </c>
      <c r="EG1" s="13">
        <v>2016</v>
      </c>
      <c r="EH1" s="13">
        <v>2016</v>
      </c>
      <c r="EI1" s="13">
        <v>2016</v>
      </c>
      <c r="EJ1" s="13">
        <v>2016</v>
      </c>
      <c r="EK1" s="13">
        <v>2016</v>
      </c>
      <c r="EL1" s="13">
        <v>2016</v>
      </c>
      <c r="EM1" s="13">
        <v>2016</v>
      </c>
      <c r="EN1" s="13">
        <v>2016</v>
      </c>
      <c r="EO1" s="8">
        <v>2016</v>
      </c>
      <c r="EP1" s="13">
        <v>2017</v>
      </c>
      <c r="EQ1" s="13">
        <v>2017</v>
      </c>
      <c r="ER1" s="13">
        <v>2017</v>
      </c>
      <c r="ES1" s="13">
        <v>2017</v>
      </c>
      <c r="ET1" s="13">
        <v>2017</v>
      </c>
      <c r="EU1" s="13">
        <v>2017</v>
      </c>
      <c r="EV1" s="13">
        <v>2017</v>
      </c>
      <c r="EW1" s="13">
        <v>2017</v>
      </c>
      <c r="EX1" s="13">
        <v>2017</v>
      </c>
      <c r="EY1" s="13">
        <v>2017</v>
      </c>
      <c r="EZ1" s="13">
        <v>2017</v>
      </c>
      <c r="FA1" s="8">
        <v>2017</v>
      </c>
      <c r="FB1" s="13">
        <v>2018</v>
      </c>
      <c r="FC1" s="13">
        <v>2018</v>
      </c>
      <c r="FD1" s="13">
        <v>2018</v>
      </c>
      <c r="FE1" s="13">
        <v>2018</v>
      </c>
      <c r="FF1" s="13">
        <v>2018</v>
      </c>
      <c r="FG1" s="13">
        <v>2018</v>
      </c>
      <c r="FH1" s="13">
        <v>2018</v>
      </c>
      <c r="FI1" s="13">
        <v>2018</v>
      </c>
      <c r="FJ1" s="13">
        <v>2018</v>
      </c>
      <c r="FK1" s="13">
        <v>2018</v>
      </c>
      <c r="FL1" s="13">
        <v>2018</v>
      </c>
      <c r="FM1" s="8">
        <v>2018</v>
      </c>
      <c r="FN1" s="13">
        <v>2019</v>
      </c>
      <c r="FO1" s="13">
        <v>2019</v>
      </c>
      <c r="FP1" s="13">
        <v>2019</v>
      </c>
      <c r="FQ1" s="13">
        <v>2019</v>
      </c>
      <c r="FR1" s="13">
        <v>2019</v>
      </c>
      <c r="FS1" s="13">
        <v>2019</v>
      </c>
      <c r="FT1" s="13">
        <v>2019</v>
      </c>
      <c r="FU1" s="13">
        <v>2019</v>
      </c>
      <c r="FV1" s="13">
        <v>2019</v>
      </c>
      <c r="FW1" s="13">
        <v>2019</v>
      </c>
      <c r="FX1" s="13">
        <v>2019</v>
      </c>
      <c r="FY1" s="8">
        <v>2019</v>
      </c>
      <c r="FZ1" s="13">
        <v>2020</v>
      </c>
      <c r="GA1" s="13">
        <v>2020</v>
      </c>
      <c r="GB1" s="13">
        <v>2020</v>
      </c>
      <c r="GC1" s="13">
        <v>2020</v>
      </c>
      <c r="GD1" s="13">
        <v>2020</v>
      </c>
      <c r="GE1" s="13">
        <v>2020</v>
      </c>
      <c r="GF1" s="13">
        <v>2020</v>
      </c>
      <c r="GG1" s="13">
        <v>2020</v>
      </c>
      <c r="GH1" s="13">
        <v>2020</v>
      </c>
      <c r="GI1" s="13">
        <v>2020</v>
      </c>
      <c r="GJ1" s="13">
        <v>2020</v>
      </c>
      <c r="GK1" s="8">
        <v>2020</v>
      </c>
      <c r="GL1" s="13">
        <v>2021</v>
      </c>
      <c r="GM1" s="13">
        <v>2021</v>
      </c>
      <c r="GN1" s="13">
        <v>2021</v>
      </c>
      <c r="GO1" s="13">
        <v>2021</v>
      </c>
      <c r="GP1" s="13">
        <v>2021</v>
      </c>
      <c r="GQ1" s="13">
        <v>2021</v>
      </c>
      <c r="GR1" s="13">
        <v>2021</v>
      </c>
      <c r="GS1" s="13">
        <v>2021</v>
      </c>
      <c r="GT1" s="13">
        <v>2021</v>
      </c>
      <c r="GU1" s="13">
        <v>2021</v>
      </c>
      <c r="GV1" s="13">
        <v>2021</v>
      </c>
      <c r="GW1" s="8">
        <v>2021</v>
      </c>
      <c r="GX1" s="13">
        <v>2022</v>
      </c>
      <c r="GY1" s="13">
        <v>2022</v>
      </c>
      <c r="GZ1" s="13">
        <v>2022</v>
      </c>
      <c r="HA1" s="13">
        <v>2022</v>
      </c>
      <c r="HB1" s="13">
        <v>2022</v>
      </c>
      <c r="HC1" s="13">
        <v>2022</v>
      </c>
      <c r="HD1" s="13">
        <v>2022</v>
      </c>
      <c r="HE1" s="13">
        <v>2022</v>
      </c>
      <c r="HF1" s="13">
        <v>2022</v>
      </c>
      <c r="HG1" s="13">
        <v>2022</v>
      </c>
      <c r="HH1" s="13">
        <v>2022</v>
      </c>
      <c r="HI1" s="8">
        <v>2022</v>
      </c>
      <c r="HJ1" s="13">
        <v>2023</v>
      </c>
      <c r="HK1" s="13">
        <v>2023</v>
      </c>
      <c r="HL1" s="13">
        <v>2023</v>
      </c>
      <c r="HM1" s="13">
        <v>2023</v>
      </c>
      <c r="HN1" s="13">
        <v>2023</v>
      </c>
      <c r="HO1" s="13">
        <v>2023</v>
      </c>
      <c r="HP1" s="13">
        <v>2023</v>
      </c>
      <c r="HQ1" s="13">
        <v>2023</v>
      </c>
      <c r="HR1" s="13">
        <v>2023</v>
      </c>
      <c r="HS1" s="13">
        <v>2023</v>
      </c>
      <c r="HT1" s="13">
        <v>2023</v>
      </c>
      <c r="HU1" s="8">
        <v>2023</v>
      </c>
      <c r="HV1" s="13">
        <v>2024</v>
      </c>
      <c r="HW1" s="13">
        <v>2024</v>
      </c>
      <c r="HX1" s="13">
        <v>2024</v>
      </c>
      <c r="HY1" s="13">
        <v>2024</v>
      </c>
      <c r="HZ1" s="13">
        <v>2024</v>
      </c>
      <c r="IA1" s="13">
        <v>2024</v>
      </c>
      <c r="IB1" s="13">
        <v>2024</v>
      </c>
      <c r="IC1" s="13">
        <v>2024</v>
      </c>
      <c r="ID1" s="13">
        <v>2024</v>
      </c>
      <c r="IE1" s="13">
        <v>2024</v>
      </c>
      <c r="IF1" s="13">
        <v>2024</v>
      </c>
      <c r="IG1" s="8">
        <v>2024</v>
      </c>
      <c r="IH1" s="13">
        <v>2025</v>
      </c>
      <c r="II1" s="13">
        <v>2025</v>
      </c>
      <c r="IJ1" s="13">
        <v>2025</v>
      </c>
      <c r="IK1" s="13">
        <v>2025</v>
      </c>
      <c r="IL1" s="13">
        <v>2025</v>
      </c>
      <c r="IM1" s="13">
        <v>2025</v>
      </c>
      <c r="IN1" s="13">
        <v>2025</v>
      </c>
      <c r="IO1" s="13">
        <v>2025</v>
      </c>
      <c r="IP1" s="13">
        <v>2025</v>
      </c>
      <c r="IQ1" s="13">
        <v>2025</v>
      </c>
      <c r="IR1" s="13">
        <v>2025</v>
      </c>
      <c r="IS1" s="8">
        <v>2025</v>
      </c>
      <c r="IT1" t="s">
        <v>18</v>
      </c>
    </row>
    <row r="2" spans="1:254" x14ac:dyDescent="0.3">
      <c r="A2" s="3" t="s">
        <v>1</v>
      </c>
      <c r="B2" s="5" t="s">
        <v>5</v>
      </c>
      <c r="C2" s="5" t="s">
        <v>6</v>
      </c>
      <c r="D2" s="5" t="s">
        <v>7</v>
      </c>
      <c r="E2" s="5" t="s">
        <v>8</v>
      </c>
      <c r="F2" s="5" t="s">
        <v>9</v>
      </c>
      <c r="G2" s="5" t="s">
        <v>10</v>
      </c>
      <c r="H2" s="5" t="s">
        <v>11</v>
      </c>
      <c r="I2" s="5" t="s">
        <v>12</v>
      </c>
      <c r="J2" s="5" t="s">
        <v>13</v>
      </c>
      <c r="K2" s="5" t="s">
        <v>14</v>
      </c>
      <c r="L2" s="5" t="s">
        <v>15</v>
      </c>
      <c r="M2" s="9" t="s">
        <v>16</v>
      </c>
      <c r="N2" s="5" t="s">
        <v>5</v>
      </c>
      <c r="O2" s="5" t="s">
        <v>6</v>
      </c>
      <c r="P2" s="5" t="s">
        <v>7</v>
      </c>
      <c r="Q2" s="5" t="s">
        <v>8</v>
      </c>
      <c r="R2" s="5" t="s">
        <v>9</v>
      </c>
      <c r="S2" s="5" t="s">
        <v>10</v>
      </c>
      <c r="T2" s="5" t="s">
        <v>11</v>
      </c>
      <c r="U2" s="5" t="s">
        <v>12</v>
      </c>
      <c r="V2" s="5" t="s">
        <v>13</v>
      </c>
      <c r="W2" s="5" t="s">
        <v>14</v>
      </c>
      <c r="X2" s="5" t="s">
        <v>15</v>
      </c>
      <c r="Y2" s="9" t="s">
        <v>16</v>
      </c>
      <c r="Z2" s="5" t="s">
        <v>5</v>
      </c>
      <c r="AA2" s="5" t="s">
        <v>6</v>
      </c>
      <c r="AB2" s="5" t="s">
        <v>7</v>
      </c>
      <c r="AC2" s="5" t="s">
        <v>8</v>
      </c>
      <c r="AD2" s="5" t="s">
        <v>9</v>
      </c>
      <c r="AE2" s="5" t="s">
        <v>10</v>
      </c>
      <c r="AF2" s="5" t="s">
        <v>11</v>
      </c>
      <c r="AG2" s="5" t="s">
        <v>12</v>
      </c>
      <c r="AH2" s="5" t="s">
        <v>13</v>
      </c>
      <c r="AI2" s="5" t="s">
        <v>14</v>
      </c>
      <c r="AJ2" s="5" t="s">
        <v>15</v>
      </c>
      <c r="AK2" s="9" t="s">
        <v>16</v>
      </c>
      <c r="AL2" s="14" t="s">
        <v>5</v>
      </c>
      <c r="AM2" s="5" t="s">
        <v>6</v>
      </c>
      <c r="AN2" s="5" t="s">
        <v>7</v>
      </c>
      <c r="AO2" s="5" t="s">
        <v>8</v>
      </c>
      <c r="AP2" s="5" t="s">
        <v>9</v>
      </c>
      <c r="AQ2" s="5" t="s">
        <v>10</v>
      </c>
      <c r="AR2" s="5" t="s">
        <v>11</v>
      </c>
      <c r="AS2" s="5" t="s">
        <v>12</v>
      </c>
      <c r="AT2" s="5" t="s">
        <v>13</v>
      </c>
      <c r="AU2" s="5" t="s">
        <v>14</v>
      </c>
      <c r="AV2" s="5" t="s">
        <v>15</v>
      </c>
      <c r="AW2" s="9" t="s">
        <v>16</v>
      </c>
      <c r="AX2" s="14" t="s">
        <v>5</v>
      </c>
      <c r="AY2" s="5" t="s">
        <v>6</v>
      </c>
      <c r="AZ2" s="5" t="s">
        <v>7</v>
      </c>
      <c r="BA2" s="5" t="s">
        <v>8</v>
      </c>
      <c r="BB2" s="5" t="s">
        <v>9</v>
      </c>
      <c r="BC2" s="5" t="s">
        <v>10</v>
      </c>
      <c r="BD2" s="5" t="s">
        <v>11</v>
      </c>
      <c r="BE2" s="5" t="s">
        <v>12</v>
      </c>
      <c r="BF2" s="5" t="s">
        <v>13</v>
      </c>
      <c r="BG2" s="5" t="s">
        <v>14</v>
      </c>
      <c r="BH2" s="5" t="s">
        <v>15</v>
      </c>
      <c r="BI2" s="9" t="s">
        <v>16</v>
      </c>
      <c r="BJ2" s="14" t="s">
        <v>5</v>
      </c>
      <c r="BK2" s="5" t="s">
        <v>6</v>
      </c>
      <c r="BL2" s="5" t="s">
        <v>7</v>
      </c>
      <c r="BM2" s="5" t="s">
        <v>8</v>
      </c>
      <c r="BN2" s="5" t="s">
        <v>9</v>
      </c>
      <c r="BO2" s="5" t="s">
        <v>10</v>
      </c>
      <c r="BP2" s="5" t="s">
        <v>11</v>
      </c>
      <c r="BQ2" s="5" t="s">
        <v>12</v>
      </c>
      <c r="BR2" s="5" t="s">
        <v>13</v>
      </c>
      <c r="BS2" s="5" t="s">
        <v>14</v>
      </c>
      <c r="BT2" s="5" t="s">
        <v>15</v>
      </c>
      <c r="BU2" s="9" t="s">
        <v>16</v>
      </c>
      <c r="BV2" s="14" t="s">
        <v>5</v>
      </c>
      <c r="BW2" s="5" t="s">
        <v>6</v>
      </c>
      <c r="BX2" s="5" t="s">
        <v>7</v>
      </c>
      <c r="BY2" s="5" t="s">
        <v>8</v>
      </c>
      <c r="BZ2" s="5" t="s">
        <v>9</v>
      </c>
      <c r="CA2" s="5" t="s">
        <v>10</v>
      </c>
      <c r="CB2" s="5" t="s">
        <v>11</v>
      </c>
      <c r="CC2" s="5" t="s">
        <v>12</v>
      </c>
      <c r="CD2" s="5" t="s">
        <v>13</v>
      </c>
      <c r="CE2" s="5" t="s">
        <v>14</v>
      </c>
      <c r="CF2" s="5" t="s">
        <v>15</v>
      </c>
      <c r="CG2" s="9" t="s">
        <v>16</v>
      </c>
      <c r="CH2" s="14" t="s">
        <v>5</v>
      </c>
      <c r="CI2" s="5" t="s">
        <v>6</v>
      </c>
      <c r="CJ2" s="5" t="s">
        <v>7</v>
      </c>
      <c r="CK2" s="5" t="s">
        <v>8</v>
      </c>
      <c r="CL2" s="5" t="s">
        <v>9</v>
      </c>
      <c r="CM2" s="5" t="s">
        <v>10</v>
      </c>
      <c r="CN2" s="5" t="s">
        <v>11</v>
      </c>
      <c r="CO2" s="5" t="s">
        <v>12</v>
      </c>
      <c r="CP2" s="5" t="s">
        <v>13</v>
      </c>
      <c r="CQ2" s="5" t="s">
        <v>14</v>
      </c>
      <c r="CR2" s="5" t="s">
        <v>15</v>
      </c>
      <c r="CS2" s="9" t="s">
        <v>16</v>
      </c>
      <c r="CT2" s="14" t="s">
        <v>5</v>
      </c>
      <c r="CU2" s="5" t="s">
        <v>6</v>
      </c>
      <c r="CV2" s="5" t="s">
        <v>7</v>
      </c>
      <c r="CW2" s="5" t="s">
        <v>8</v>
      </c>
      <c r="CX2" s="5" t="s">
        <v>9</v>
      </c>
      <c r="CY2" s="5" t="s">
        <v>10</v>
      </c>
      <c r="CZ2" s="5" t="s">
        <v>11</v>
      </c>
      <c r="DA2" s="5" t="s">
        <v>12</v>
      </c>
      <c r="DB2" s="5" t="s">
        <v>13</v>
      </c>
      <c r="DC2" s="5" t="s">
        <v>14</v>
      </c>
      <c r="DD2" s="5" t="s">
        <v>15</v>
      </c>
      <c r="DE2" s="9" t="s">
        <v>16</v>
      </c>
      <c r="DF2" s="14" t="s">
        <v>5</v>
      </c>
      <c r="DG2" s="5" t="s">
        <v>6</v>
      </c>
      <c r="DH2" s="5" t="s">
        <v>7</v>
      </c>
      <c r="DI2" s="5" t="s">
        <v>8</v>
      </c>
      <c r="DJ2" s="5" t="s">
        <v>9</v>
      </c>
      <c r="DK2" s="5" t="s">
        <v>10</v>
      </c>
      <c r="DL2" s="5" t="s">
        <v>11</v>
      </c>
      <c r="DM2" s="5" t="s">
        <v>12</v>
      </c>
      <c r="DN2" s="5" t="s">
        <v>13</v>
      </c>
      <c r="DO2" s="5" t="s">
        <v>14</v>
      </c>
      <c r="DP2" s="5" t="s">
        <v>15</v>
      </c>
      <c r="DQ2" s="9" t="s">
        <v>16</v>
      </c>
      <c r="DR2" s="14" t="s">
        <v>5</v>
      </c>
      <c r="DS2" s="5" t="s">
        <v>6</v>
      </c>
      <c r="DT2" s="5" t="s">
        <v>7</v>
      </c>
      <c r="DU2" s="5" t="s">
        <v>8</v>
      </c>
      <c r="DV2" s="5" t="s">
        <v>9</v>
      </c>
      <c r="DW2" s="5" t="s">
        <v>10</v>
      </c>
      <c r="DX2" s="5" t="s">
        <v>11</v>
      </c>
      <c r="DY2" s="5" t="s">
        <v>12</v>
      </c>
      <c r="DZ2" s="5" t="s">
        <v>13</v>
      </c>
      <c r="EA2" s="5" t="s">
        <v>14</v>
      </c>
      <c r="EB2" s="5" t="s">
        <v>15</v>
      </c>
      <c r="EC2" s="9" t="s">
        <v>16</v>
      </c>
      <c r="ED2" s="14" t="s">
        <v>5</v>
      </c>
      <c r="EE2" s="5" t="s">
        <v>6</v>
      </c>
      <c r="EF2" s="5" t="s">
        <v>7</v>
      </c>
      <c r="EG2" s="5" t="s">
        <v>8</v>
      </c>
      <c r="EH2" s="5" t="s">
        <v>9</v>
      </c>
      <c r="EI2" s="5" t="s">
        <v>10</v>
      </c>
      <c r="EJ2" s="5" t="s">
        <v>11</v>
      </c>
      <c r="EK2" s="5" t="s">
        <v>12</v>
      </c>
      <c r="EL2" s="5" t="s">
        <v>13</v>
      </c>
      <c r="EM2" s="5" t="s">
        <v>14</v>
      </c>
      <c r="EN2" s="5" t="s">
        <v>15</v>
      </c>
      <c r="EO2" s="9" t="s">
        <v>16</v>
      </c>
      <c r="EP2" s="14" t="s">
        <v>5</v>
      </c>
      <c r="EQ2" s="5" t="s">
        <v>6</v>
      </c>
      <c r="ER2" s="5" t="s">
        <v>7</v>
      </c>
      <c r="ES2" s="5" t="s">
        <v>8</v>
      </c>
      <c r="ET2" s="5" t="s">
        <v>9</v>
      </c>
      <c r="EU2" s="5" t="s">
        <v>10</v>
      </c>
      <c r="EV2" s="5" t="s">
        <v>11</v>
      </c>
      <c r="EW2" s="5" t="s">
        <v>12</v>
      </c>
      <c r="EX2" s="5" t="s">
        <v>13</v>
      </c>
      <c r="EY2" s="5" t="s">
        <v>14</v>
      </c>
      <c r="EZ2" s="5" t="s">
        <v>15</v>
      </c>
      <c r="FA2" s="9" t="s">
        <v>16</v>
      </c>
      <c r="FB2" s="14" t="s">
        <v>5</v>
      </c>
      <c r="FC2" s="5" t="s">
        <v>6</v>
      </c>
      <c r="FD2" s="5" t="s">
        <v>7</v>
      </c>
      <c r="FE2" s="5" t="s">
        <v>8</v>
      </c>
      <c r="FF2" s="5" t="s">
        <v>9</v>
      </c>
      <c r="FG2" s="5" t="s">
        <v>10</v>
      </c>
      <c r="FH2" s="5" t="s">
        <v>11</v>
      </c>
      <c r="FI2" s="5" t="s">
        <v>12</v>
      </c>
      <c r="FJ2" s="5" t="s">
        <v>13</v>
      </c>
      <c r="FK2" s="5" t="s">
        <v>14</v>
      </c>
      <c r="FL2" s="5" t="s">
        <v>15</v>
      </c>
      <c r="FM2" s="9" t="s">
        <v>16</v>
      </c>
      <c r="FN2" s="14" t="s">
        <v>5</v>
      </c>
      <c r="FO2" s="5" t="s">
        <v>6</v>
      </c>
      <c r="FP2" s="5" t="s">
        <v>7</v>
      </c>
      <c r="FQ2" s="5" t="s">
        <v>8</v>
      </c>
      <c r="FR2" s="5" t="s">
        <v>9</v>
      </c>
      <c r="FS2" s="5" t="s">
        <v>10</v>
      </c>
      <c r="FT2" s="5" t="s">
        <v>11</v>
      </c>
      <c r="FU2" s="5" t="s">
        <v>12</v>
      </c>
      <c r="FV2" s="5" t="s">
        <v>13</v>
      </c>
      <c r="FW2" s="5" t="s">
        <v>14</v>
      </c>
      <c r="FX2" s="5" t="s">
        <v>15</v>
      </c>
      <c r="FY2" s="9" t="s">
        <v>16</v>
      </c>
      <c r="FZ2" s="14" t="s">
        <v>5</v>
      </c>
      <c r="GA2" s="5" t="s">
        <v>6</v>
      </c>
      <c r="GB2" s="5" t="s">
        <v>7</v>
      </c>
      <c r="GC2" s="5" t="s">
        <v>8</v>
      </c>
      <c r="GD2" s="5" t="s">
        <v>9</v>
      </c>
      <c r="GE2" s="5" t="s">
        <v>10</v>
      </c>
      <c r="GF2" s="5" t="s">
        <v>11</v>
      </c>
      <c r="GG2" s="5" t="s">
        <v>12</v>
      </c>
      <c r="GH2" s="5" t="s">
        <v>13</v>
      </c>
      <c r="GI2" s="5" t="s">
        <v>14</v>
      </c>
      <c r="GJ2" s="5" t="s">
        <v>15</v>
      </c>
      <c r="GK2" s="9" t="s">
        <v>16</v>
      </c>
      <c r="GL2" s="14" t="s">
        <v>5</v>
      </c>
      <c r="GM2" s="5" t="s">
        <v>6</v>
      </c>
      <c r="GN2" s="5" t="s">
        <v>7</v>
      </c>
      <c r="GO2" s="5" t="s">
        <v>8</v>
      </c>
      <c r="GP2" s="5" t="s">
        <v>9</v>
      </c>
      <c r="GQ2" s="5" t="s">
        <v>10</v>
      </c>
      <c r="GR2" s="5" t="s">
        <v>11</v>
      </c>
      <c r="GS2" s="5" t="s">
        <v>12</v>
      </c>
      <c r="GT2" s="5" t="s">
        <v>13</v>
      </c>
      <c r="GU2" s="5" t="s">
        <v>14</v>
      </c>
      <c r="GV2" s="5" t="s">
        <v>15</v>
      </c>
      <c r="GW2" s="9" t="s">
        <v>16</v>
      </c>
      <c r="GX2" s="14" t="s">
        <v>5</v>
      </c>
      <c r="GY2" s="5" t="s">
        <v>6</v>
      </c>
      <c r="GZ2" s="5" t="s">
        <v>7</v>
      </c>
      <c r="HA2" s="5" t="s">
        <v>8</v>
      </c>
      <c r="HB2" s="5" t="s">
        <v>9</v>
      </c>
      <c r="HC2" s="5" t="s">
        <v>10</v>
      </c>
      <c r="HD2" s="5" t="s">
        <v>11</v>
      </c>
      <c r="HE2" s="5" t="s">
        <v>12</v>
      </c>
      <c r="HF2" s="5" t="s">
        <v>13</v>
      </c>
      <c r="HG2" s="5" t="s">
        <v>14</v>
      </c>
      <c r="HH2" s="5" t="s">
        <v>15</v>
      </c>
      <c r="HI2" s="9" t="s">
        <v>16</v>
      </c>
      <c r="HJ2" s="14" t="s">
        <v>5</v>
      </c>
      <c r="HK2" s="5" t="s">
        <v>6</v>
      </c>
      <c r="HL2" s="5" t="s">
        <v>7</v>
      </c>
      <c r="HM2" s="5" t="s">
        <v>8</v>
      </c>
      <c r="HN2" s="5" t="s">
        <v>9</v>
      </c>
      <c r="HO2" s="5" t="s">
        <v>10</v>
      </c>
      <c r="HP2" s="5" t="s">
        <v>11</v>
      </c>
      <c r="HQ2" s="5" t="s">
        <v>12</v>
      </c>
      <c r="HR2" s="5" t="s">
        <v>13</v>
      </c>
      <c r="HS2" s="5" t="s">
        <v>14</v>
      </c>
      <c r="HT2" s="5" t="s">
        <v>15</v>
      </c>
      <c r="HU2" s="9" t="s">
        <v>16</v>
      </c>
      <c r="HV2" s="14" t="s">
        <v>5</v>
      </c>
      <c r="HW2" s="5" t="s">
        <v>6</v>
      </c>
      <c r="HX2" s="5" t="s">
        <v>7</v>
      </c>
      <c r="HY2" s="5" t="s">
        <v>8</v>
      </c>
      <c r="HZ2" s="5" t="s">
        <v>9</v>
      </c>
      <c r="IA2" s="5" t="s">
        <v>10</v>
      </c>
      <c r="IB2" s="5" t="s">
        <v>11</v>
      </c>
      <c r="IC2" s="5" t="s">
        <v>12</v>
      </c>
      <c r="ID2" s="5" t="s">
        <v>13</v>
      </c>
      <c r="IE2" s="5" t="s">
        <v>14</v>
      </c>
      <c r="IF2" s="5" t="s">
        <v>15</v>
      </c>
      <c r="IG2" s="9" t="s">
        <v>16</v>
      </c>
      <c r="IH2" s="14" t="s">
        <v>5</v>
      </c>
      <c r="II2" s="5" t="s">
        <v>6</v>
      </c>
      <c r="IJ2" s="5" t="s">
        <v>7</v>
      </c>
      <c r="IK2" s="5" t="s">
        <v>8</v>
      </c>
      <c r="IL2" s="5" t="s">
        <v>9</v>
      </c>
      <c r="IM2" s="5" t="s">
        <v>10</v>
      </c>
      <c r="IN2" s="5" t="s">
        <v>11</v>
      </c>
      <c r="IO2" s="5" t="s">
        <v>12</v>
      </c>
      <c r="IP2" s="5" t="s">
        <v>13</v>
      </c>
      <c r="IQ2" s="5" t="s">
        <v>14</v>
      </c>
      <c r="IR2" s="5" t="s">
        <v>15</v>
      </c>
      <c r="IS2" s="9" t="s">
        <v>16</v>
      </c>
    </row>
    <row r="3" spans="1:254" x14ac:dyDescent="0.3">
      <c r="A3" s="6" t="s">
        <v>2</v>
      </c>
      <c r="B3" s="2">
        <f>'[1]PYG PRESUPUESTO'!D$57</f>
        <v>32790.077908983025</v>
      </c>
      <c r="C3" s="2">
        <f>'[1]PYG PRESUPUESTO'!E$57</f>
        <v>32128.51999336536</v>
      </c>
      <c r="D3" s="2">
        <f>'[1]PYG PRESUPUESTO'!F$57</f>
        <v>37128.281537396892</v>
      </c>
      <c r="E3" s="2">
        <f>'[1]PYG PRESUPUESTO'!G$57</f>
        <v>36248.373382015947</v>
      </c>
      <c r="F3" s="2">
        <f>'[1]PYG PRESUPUESTO'!H$57</f>
        <v>35987.711776337484</v>
      </c>
      <c r="G3" s="2">
        <f>'[1]PYG PRESUPUESTO'!I$57</f>
        <v>34904.228120450076</v>
      </c>
      <c r="H3" s="2">
        <f>'[1]PYG PRESUPUESTO'!J$57</f>
        <v>36037.159659434183</v>
      </c>
      <c r="I3" s="2">
        <f>'[1]PYG PRESUPUESTO'!K$57</f>
        <v>34312.458634863899</v>
      </c>
      <c r="J3" s="2">
        <f>'[1]PYG PRESUPUESTO'!L$57</f>
        <v>33945.279755463183</v>
      </c>
      <c r="K3" s="2">
        <f>'[1]PYG PRESUPUESTO'!M$57</f>
        <v>35289.013715147557</v>
      </c>
      <c r="L3" s="2">
        <f>'[1]PYG PRESUPUESTO'!N$57</f>
        <v>34484.083313307143</v>
      </c>
      <c r="M3" s="10">
        <f>'[1]PYG PRESUPUESTO'!O$57</f>
        <v>36786.444008420447</v>
      </c>
      <c r="N3" s="2">
        <f>'[2]PYG PRESUPUESTO'!D$60</f>
        <v>30695.298207016058</v>
      </c>
      <c r="O3" s="2">
        <f>'[2]PYG PRESUPUESTO'!E$60</f>
        <v>30416.557877666655</v>
      </c>
      <c r="P3" s="2">
        <f>'[2]PYG PRESUPUESTO'!F$60</f>
        <v>33697.311141683407</v>
      </c>
      <c r="Q3" s="2">
        <f>'[2]PYG PRESUPUESTO'!G$60</f>
        <v>34520.567238962773</v>
      </c>
      <c r="R3" s="2">
        <f>'[2]PYG PRESUPUESTO'!H$60</f>
        <v>33517.787777975129</v>
      </c>
      <c r="S3" s="2">
        <f>'[2]PYG PRESUPUESTO'!I$60</f>
        <v>33378.235074134049</v>
      </c>
      <c r="T3" s="2">
        <f>'[2]PYG PRESUPUESTO'!J$60</f>
        <v>34680.569732790282</v>
      </c>
      <c r="U3" s="2">
        <f>'[2]PYG PRESUPUESTO'!K$60</f>
        <v>34500.370875939581</v>
      </c>
      <c r="V3" s="2">
        <f>'[2]PYG PRESUPUESTO'!L$60</f>
        <v>34105.142513812476</v>
      </c>
      <c r="W3" s="2">
        <f>'[2]PYG PRESUPUESTO'!M$60</f>
        <v>35446.46405673134</v>
      </c>
      <c r="X3" s="2">
        <f>'[2]PYG PRESUPUESTO'!N$60</f>
        <v>35438.632976379384</v>
      </c>
      <c r="Y3" s="10">
        <f>'[2]PYG PRESUPUESTO'!O$60</f>
        <v>35205.804590990723</v>
      </c>
      <c r="Z3" s="12"/>
      <c r="AA3" s="2"/>
      <c r="AB3" s="2"/>
      <c r="AC3" s="2"/>
      <c r="AD3" s="2"/>
      <c r="AE3" s="2"/>
      <c r="AF3" s="2"/>
      <c r="AG3" s="2"/>
      <c r="AH3" s="2"/>
      <c r="AI3" s="2"/>
      <c r="AJ3" s="2"/>
      <c r="AK3" s="10"/>
      <c r="AL3" s="12">
        <f>'[3]PYG PRESUPUESTO'!D$61</f>
        <v>48702.885915624407</v>
      </c>
      <c r="AM3" s="12">
        <f>'[3]PYG PRESUPUESTO'!E$61</f>
        <v>49126.667453218142</v>
      </c>
      <c r="AN3" s="12">
        <f>'[3]PYG PRESUPUESTO'!F$61</f>
        <v>52658.899769440875</v>
      </c>
      <c r="AO3" s="12">
        <f>'[3]PYG PRESUPUESTO'!G$61</f>
        <v>52171.507684440585</v>
      </c>
      <c r="AP3" s="12">
        <f>'[3]PYG PRESUPUESTO'!H$61</f>
        <v>53819.20806508878</v>
      </c>
      <c r="AQ3" s="12">
        <f>'[3]PYG PRESUPUESTO'!I$61</f>
        <v>54771.35983740518</v>
      </c>
      <c r="AR3" s="12">
        <f>'[3]PYG PRESUPUESTO'!J$61</f>
        <v>57141.011161915405</v>
      </c>
      <c r="AS3" s="12">
        <f>'[3]PYG PRESUPUESTO'!K$61</f>
        <v>58398.548847401966</v>
      </c>
      <c r="AT3" s="12">
        <f>'[3]PYG PRESUPUESTO'!L$61</f>
        <v>59436.635763009799</v>
      </c>
      <c r="AU3" s="12">
        <f>'[3]PYG PRESUPUESTO'!M$61</f>
        <v>61032.265569597606</v>
      </c>
      <c r="AV3" s="12">
        <f>'[3]PYG PRESUPUESTO'!N$61</f>
        <v>61699.402000504619</v>
      </c>
      <c r="AW3" s="10">
        <f>'[3]PYG PRESUPUESTO'!O$61</f>
        <v>62378.801356091462</v>
      </c>
      <c r="AX3" s="12">
        <f>'[4]PYG PRESUPUESTO'!D$63</f>
        <v>61331.798002306605</v>
      </c>
      <c r="AY3" s="12">
        <f>'[4]PYG PRESUPUESTO'!E$63</f>
        <v>60674.786562767847</v>
      </c>
      <c r="AZ3" s="12">
        <f>'[4]PYG PRESUPUESTO'!F$63</f>
        <v>65608.881801703508</v>
      </c>
      <c r="BA3" s="12">
        <f>'[4]PYG PRESUPUESTO'!G$63</f>
        <v>64808.020317109447</v>
      </c>
      <c r="BB3" s="12">
        <f>'[4]PYG PRESUPUESTO'!H$63</f>
        <v>66398.538399304147</v>
      </c>
      <c r="BC3" s="12">
        <f>'[4]PYG PRESUPUESTO'!I$63</f>
        <v>66731.439805295973</v>
      </c>
      <c r="BD3" s="12">
        <f>'[4]PYG PRESUPUESTO'!J$63</f>
        <v>67152.326625880232</v>
      </c>
      <c r="BE3" s="12">
        <f>'[4]PYG PRESUPUESTO'!K$63</f>
        <v>69223.898253083564</v>
      </c>
      <c r="BF3" s="12">
        <f>'[4]PYG PRESUPUESTO'!L$63</f>
        <v>69391.287762713371</v>
      </c>
      <c r="BG3" s="12">
        <f>'[4]PYG PRESUPUESTO'!M$63</f>
        <v>71003.94222564307</v>
      </c>
      <c r="BH3" s="12">
        <f>'[4]PYG PRESUPUESTO'!N$63</f>
        <v>72013.463669955192</v>
      </c>
      <c r="BI3" s="10">
        <f>'[4]PYG PRESUPUESTO'!O$63</f>
        <v>82593.712888649694</v>
      </c>
      <c r="BJ3" s="12">
        <f>'[5]PYG PRESUPUESTO'!D$63</f>
        <v>56511.270921737152</v>
      </c>
      <c r="BK3" s="12">
        <f>'[5]PYG PRESUPUESTO'!E$63</f>
        <v>55643.0021232695</v>
      </c>
      <c r="BL3" s="12">
        <f>'[5]PYG PRESUPUESTO'!F$63</f>
        <v>63497.384954216272</v>
      </c>
      <c r="BM3" s="12">
        <f>'[5]PYG PRESUPUESTO'!G$63</f>
        <v>58537.33033389756</v>
      </c>
      <c r="BN3" s="12">
        <f>'[5]PYG PRESUPUESTO'!H$63</f>
        <v>60571.264168359397</v>
      </c>
      <c r="BO3" s="12">
        <f>'[5]PYG PRESUPUESTO'!I$63</f>
        <v>61455.772903641722</v>
      </c>
      <c r="BP3" s="12">
        <f>'[5]PYG PRESUPUESTO'!J$63</f>
        <v>66337.000703474798</v>
      </c>
      <c r="BQ3" s="12">
        <f>'[5]PYG PRESUPUESTO'!K$63</f>
        <v>66243.467107830395</v>
      </c>
      <c r="BR3" s="12">
        <f>'[5]PYG PRESUPUESTO'!L$63</f>
        <v>65126.618559629576</v>
      </c>
      <c r="BS3" s="12">
        <f>'[5]PYG PRESUPUESTO'!M$63</f>
        <v>65809.724506028433</v>
      </c>
      <c r="BT3" s="12">
        <f>'[5]PYG PRESUPUESTO'!N$63</f>
        <v>68812.047016905606</v>
      </c>
      <c r="BU3" s="10">
        <f>'[5]PYG PRESUPUESTO'!O$63</f>
        <v>75367.344535418175</v>
      </c>
      <c r="BV3" s="12">
        <f>'[6]PYG PRESUPUESTO'!D$63</f>
        <v>61650.117977190799</v>
      </c>
      <c r="BW3" s="12">
        <f>'[6]PYG PRESUPUESTO'!E$63</f>
        <v>69276.649879479344</v>
      </c>
      <c r="BX3" s="12">
        <f>'[6]PYG PRESUPUESTO'!F$63</f>
        <v>58076.795237136474</v>
      </c>
      <c r="BY3" s="12">
        <f>'[6]PYG PRESUPUESTO'!G$63</f>
        <v>57135.374455117715</v>
      </c>
      <c r="BZ3" s="12">
        <f>'[6]PYG PRESUPUESTO'!H$63</f>
        <v>62480.582996670542</v>
      </c>
      <c r="CA3" s="12">
        <f>'[6]PYG PRESUPUESTO'!I$63</f>
        <v>58484.775860981325</v>
      </c>
      <c r="CB3" s="12">
        <f>'[6]PYG PRESUPUESTO'!J$63</f>
        <v>59196.954618506999</v>
      </c>
      <c r="CC3" s="12">
        <f>'[6]PYG PRESUPUESTO'!K$63</f>
        <v>60484.095847184246</v>
      </c>
      <c r="CD3" s="12">
        <f>'[6]PYG PRESUPUESTO'!L$63</f>
        <v>61384.625898967228</v>
      </c>
      <c r="CE3" s="12">
        <f>'[6]PYG PRESUPUESTO'!M$63</f>
        <v>62885.479902983796</v>
      </c>
      <c r="CF3" s="12">
        <f>'[6]PYG PRESUPUESTO'!N$63</f>
        <v>63364.685394820444</v>
      </c>
      <c r="CG3" s="10">
        <f>'[6]PYG PRESUPUESTO'!O$63</f>
        <v>65927.099982887041</v>
      </c>
      <c r="CH3" s="12">
        <f>'[7]PYG PRESUPUESTO'!D$63</f>
        <v>63725.229914205935</v>
      </c>
      <c r="CI3" s="12">
        <f>'[7]PYG PRESUPUESTO'!E$63</f>
        <v>65415.265259352978</v>
      </c>
      <c r="CJ3" s="12">
        <f>'[7]PYG PRESUPUESTO'!F$63</f>
        <v>70368.514697734805</v>
      </c>
      <c r="CK3" s="12">
        <f>'[7]PYG PRESUPUESTO'!G$63</f>
        <v>69374.077526891735</v>
      </c>
      <c r="CL3" s="12">
        <f>'[7]PYG PRESUPUESTO'!H$63</f>
        <v>70818.204072076362</v>
      </c>
      <c r="CM3" s="12">
        <f>'[7]PYG PRESUPUESTO'!I$63</f>
        <v>69888.728750856215</v>
      </c>
      <c r="CN3" s="12">
        <f>'[7]PYG PRESUPUESTO'!J$63</f>
        <v>71207.490530704876</v>
      </c>
      <c r="CO3" s="12">
        <f>'[7]PYG PRESUPUESTO'!K$63</f>
        <v>72055.689724337324</v>
      </c>
      <c r="CP3" s="12">
        <f>'[7]PYG PRESUPUESTO'!L$63</f>
        <v>72919.743963731147</v>
      </c>
      <c r="CQ3" s="12">
        <f>'[7]PYG PRESUPUESTO'!M$63</f>
        <v>75234.579967030309</v>
      </c>
      <c r="CR3" s="12">
        <f>'[7]PYG PRESUPUESTO'!N$63</f>
        <v>75289.523450518114</v>
      </c>
      <c r="CS3" s="10">
        <f>'[7]PYG PRESUPUESTO'!O$63</f>
        <v>79405.445935437034</v>
      </c>
      <c r="CT3" s="12">
        <f>'[8]PYG PRESUPUESTO'!C$65</f>
        <v>82128.103555092719</v>
      </c>
      <c r="CU3" s="12">
        <f>'[8]PYG PRESUPUESTO'!D$65</f>
        <v>79724.534947023261</v>
      </c>
      <c r="CV3" s="12">
        <f>'[8]PYG PRESUPUESTO'!E$65</f>
        <v>90636.787861366858</v>
      </c>
      <c r="CW3" s="12">
        <f>'[8]PYG PRESUPUESTO'!F$65</f>
        <v>78875.848020440608</v>
      </c>
      <c r="CX3" s="12">
        <f>'[8]PYG PRESUPUESTO'!G$65</f>
        <v>84316.561715054748</v>
      </c>
      <c r="CY3" s="12">
        <f>'[8]PYG PRESUPUESTO'!H$65</f>
        <v>81591.628930762308</v>
      </c>
      <c r="CZ3" s="12">
        <f>'[8]PYG PRESUPUESTO'!I$65</f>
        <v>82143.602919138953</v>
      </c>
      <c r="DA3" s="12">
        <f>'[8]PYG PRESUPUESTO'!J$65</f>
        <v>82372.110876232255</v>
      </c>
      <c r="DB3" s="12">
        <f>'[8]PYG PRESUPUESTO'!K$65</f>
        <v>83426.735220732327</v>
      </c>
      <c r="DC3" s="12">
        <f>'[8]PYG PRESUPUESTO'!L$65</f>
        <v>85756.241653853765</v>
      </c>
      <c r="DD3" s="12">
        <f>'[8]PYG PRESUPUESTO'!M$65</f>
        <v>86588.919003799107</v>
      </c>
      <c r="DE3" s="10">
        <f>'[8]PYG PRESUPUESTO'!N$65</f>
        <v>87389.131249876067</v>
      </c>
      <c r="DF3" s="12">
        <f>'[9]PYG PRESUPUESTO'!C$65</f>
        <v>75661.628297290517</v>
      </c>
      <c r="DG3" s="12">
        <f>'[9]PYG PRESUPUESTO'!D$65</f>
        <v>74663.431089441758</v>
      </c>
      <c r="DH3" s="12">
        <f>'[9]PYG PRESUPUESTO'!E$65</f>
        <v>77748.724676647937</v>
      </c>
      <c r="DI3" s="12">
        <f>'[9]PYG PRESUPUESTO'!F$65</f>
        <v>81918.32014703007</v>
      </c>
      <c r="DJ3" s="12">
        <f>'[9]PYG PRESUPUESTO'!G$65</f>
        <v>79936.927433566729</v>
      </c>
      <c r="DK3" s="12">
        <f>'[9]PYG PRESUPUESTO'!H$65</f>
        <v>80986.672704775876</v>
      </c>
      <c r="DL3" s="12">
        <f>'[9]PYG PRESUPUESTO'!I$65</f>
        <v>82157.333083374542</v>
      </c>
      <c r="DM3" s="12">
        <f>'[9]PYG PRESUPUESTO'!J$65</f>
        <v>83188.122126282455</v>
      </c>
      <c r="DN3" s="12">
        <f>'[9]PYG PRESUPUESTO'!K$65</f>
        <v>85693.698487573871</v>
      </c>
      <c r="DO3" s="12">
        <f>'[9]PYG PRESUPUESTO'!L$65</f>
        <v>86354.455163383638</v>
      </c>
      <c r="DP3" s="12">
        <f>'[9]PYG PRESUPUESTO'!M$65</f>
        <v>92969.208679682037</v>
      </c>
      <c r="DQ3" s="10">
        <f>'[9]PYG PRESUPUESTO'!N$65</f>
        <v>88718.739659897241</v>
      </c>
      <c r="DR3" s="12">
        <f>'[10]PYG PRESUPUESTO'!C$65</f>
        <v>81104.713611400774</v>
      </c>
      <c r="DS3" s="12">
        <f>'[10]PYG PRESUPUESTO'!D$65</f>
        <v>79129.257307517881</v>
      </c>
      <c r="DT3" s="12">
        <f>'[10]PYG PRESUPUESTO'!E$65</f>
        <v>83137.781314644322</v>
      </c>
      <c r="DU3" s="12">
        <f>'[10]PYG PRESUPUESTO'!F$65</f>
        <v>85086.874362168484</v>
      </c>
      <c r="DV3" s="12">
        <f>'[10]PYG PRESUPUESTO'!G$65</f>
        <v>85512.985221940908</v>
      </c>
      <c r="DW3" s="12">
        <f>'[10]PYG PRESUPUESTO'!H$65</f>
        <v>85712.329610397734</v>
      </c>
      <c r="DX3" s="12">
        <f>'[10]PYG PRESUPUESTO'!I$65</f>
        <v>87644.021569282559</v>
      </c>
      <c r="DY3" s="12">
        <f>'[10]PYG PRESUPUESTO'!J$65</f>
        <v>88634.974852048166</v>
      </c>
      <c r="DZ3" s="12">
        <f>'[10]PYG PRESUPUESTO'!K$65</f>
        <v>89190.834807761785</v>
      </c>
      <c r="EA3" s="12">
        <f>'[10]PYG PRESUPUESTO'!L$65</f>
        <v>93530.233742057608</v>
      </c>
      <c r="EB3" s="12">
        <f>'[10]PYG PRESUPUESTO'!M$65</f>
        <v>91582.97620584078</v>
      </c>
      <c r="EC3" s="10">
        <f>'[10]PYG PRESUPUESTO'!N$65</f>
        <v>92675.767449560211</v>
      </c>
      <c r="ED3" s="12">
        <f>'[11]PYG PRESUPUESTO'!C$65</f>
        <v>94002.141922815194</v>
      </c>
      <c r="EE3" s="12">
        <f>'[11]PYG PRESUPUESTO'!D$65</f>
        <v>105113.82329688196</v>
      </c>
      <c r="EF3" s="12">
        <f>'[11]PYG PRESUPUESTO'!E$65</f>
        <v>99048.733206051271</v>
      </c>
      <c r="EG3" s="12">
        <f>'[11]PYG PRESUPUESTO'!F$65</f>
        <v>100308.00900040563</v>
      </c>
      <c r="EH3" s="12">
        <f>'[11]PYG PRESUPUESTO'!G$65</f>
        <v>102346.79246108439</v>
      </c>
      <c r="EI3" s="12">
        <f>'[11]PYG PRESUPUESTO'!H$65</f>
        <v>109585.26537884009</v>
      </c>
      <c r="EJ3" s="12">
        <f>'[11]PYG PRESUPUESTO'!I$65</f>
        <v>104784.66335598506</v>
      </c>
      <c r="EK3" s="12">
        <f>'[11]PYG PRESUPUESTO'!J$65</f>
        <v>105669.02344344066</v>
      </c>
      <c r="EL3" s="12">
        <f>'[11]PYG PRESUPUESTO'!K$65</f>
        <v>106979.28137642935</v>
      </c>
      <c r="EM3" s="12">
        <f>'[11]PYG PRESUPUESTO'!L$65</f>
        <v>109727.74996320512</v>
      </c>
      <c r="EN3" s="12">
        <f>'[11]PYG PRESUPUESTO'!M$65</f>
        <v>109428.79851727575</v>
      </c>
      <c r="EO3" s="10">
        <f>'[11]PYG PRESUPUESTO'!N$65</f>
        <v>110919.09727981225</v>
      </c>
      <c r="EP3" s="12">
        <f>'[12]PYG PRESUPUESTO'!C$65</f>
        <v>110046.25041353916</v>
      </c>
      <c r="EQ3" s="12">
        <f>'[12]PYG PRESUPUESTO'!D$65</f>
        <v>110451.60967493658</v>
      </c>
      <c r="ER3" s="12">
        <f>'[12]PYG PRESUPUESTO'!E$65</f>
        <v>116046.67053989266</v>
      </c>
      <c r="ES3" s="12">
        <f>'[12]PYG PRESUPUESTO'!F$65</f>
        <v>116278.28494302968</v>
      </c>
      <c r="ET3" s="12">
        <f>'[12]PYG PRESUPUESTO'!G$65</f>
        <v>118270.08682325455</v>
      </c>
      <c r="EU3" s="12">
        <f>'[12]PYG PRESUPUESTO'!H$65</f>
        <v>117211.40887783363</v>
      </c>
      <c r="EV3" s="12">
        <f>'[12]PYG PRESUPUESTO'!I$65</f>
        <v>118196.96254894293</v>
      </c>
      <c r="EW3" s="12">
        <f>'[12]PYG PRESUPUESTO'!J$65</f>
        <v>120037.29332810911</v>
      </c>
      <c r="EX3" s="12">
        <f>'[12]PYG PRESUPUESTO'!K$65</f>
        <v>120845.25650947778</v>
      </c>
      <c r="EY3" s="12">
        <f>'[12]PYG PRESUPUESTO'!L$65</f>
        <v>123472.37037692472</v>
      </c>
      <c r="EZ3" s="12">
        <f>'[12]PYG PRESUPUESTO'!M$65</f>
        <v>123229.85774917391</v>
      </c>
      <c r="FA3" s="10">
        <f>'[12]PYG PRESUPUESTO'!N$65</f>
        <v>124781.59192890166</v>
      </c>
      <c r="FB3" s="12">
        <f>'[13]PYG PRESUPUESTO'!C$65</f>
        <v>111766.75973875808</v>
      </c>
      <c r="FC3" s="12">
        <f>'[13]PYG PRESUPUESTO'!D$65</f>
        <v>111455.1811916062</v>
      </c>
      <c r="FD3" s="12">
        <f>'[13]PYG PRESUPUESTO'!E$65</f>
        <v>114055.37609214673</v>
      </c>
      <c r="FE3" s="12">
        <f>'[13]PYG PRESUPUESTO'!F$65</f>
        <v>115746.66478627927</v>
      </c>
      <c r="FF3" s="12">
        <f>'[13]PYG PRESUPUESTO'!G$65</f>
        <v>115144.86392548197</v>
      </c>
      <c r="FG3" s="12">
        <f>'[13]PYG PRESUPUESTO'!H$65</f>
        <v>115913.91510009723</v>
      </c>
      <c r="FH3" s="12">
        <f>'[13]PYG PRESUPUESTO'!I$65</f>
        <v>117374.50767059723</v>
      </c>
      <c r="FI3" s="12">
        <f>'[13]PYG PRESUPUESTO'!J$65</f>
        <v>119147.34203527408</v>
      </c>
      <c r="FJ3" s="12">
        <f>'[13]PYG PRESUPUESTO'!K$65</f>
        <v>120192.36494956026</v>
      </c>
      <c r="FK3" s="12">
        <f>'[13]PYG PRESUPUESTO'!L$65</f>
        <v>122677.65001584658</v>
      </c>
      <c r="FL3" s="12">
        <f>'[13]PYG PRESUPUESTO'!M$65</f>
        <v>123233.65715497665</v>
      </c>
      <c r="FM3" s="10">
        <f>'[13]PYG PRESUPUESTO'!N$65</f>
        <v>124854.34105056558</v>
      </c>
      <c r="FN3" s="12">
        <f>'[14]PYG PRESUPUESTO'!C$65</f>
        <v>121465.31637029511</v>
      </c>
      <c r="FO3" s="12">
        <f>'[14]PYG PRESUPUESTO'!D$65</f>
        <v>121648.62054242735</v>
      </c>
      <c r="FP3" s="12">
        <f>'[14]PYG PRESUPUESTO'!E$65</f>
        <v>126746.69000807041</v>
      </c>
      <c r="FQ3" s="12">
        <f>'[14]PYG PRESUPUESTO'!F$65</f>
        <v>123751.86369757801</v>
      </c>
      <c r="FR3" s="12">
        <f>'[14]PYG PRESUPUESTO'!G$65</f>
        <v>125891.86988606205</v>
      </c>
      <c r="FS3" s="12">
        <f>'[14]PYG PRESUPUESTO'!H$65</f>
        <v>127389.52684381041</v>
      </c>
      <c r="FT3" s="12">
        <f>'[14]PYG PRESUPUESTO'!I$65</f>
        <v>128289.67096645222</v>
      </c>
      <c r="FU3" s="12">
        <f>'[14]PYG PRESUPUESTO'!J$65</f>
        <v>130315.2769492926</v>
      </c>
      <c r="FV3" s="12">
        <f>'[14]PYG PRESUPUESTO'!K$65</f>
        <v>131617.87462823477</v>
      </c>
      <c r="FW3" s="12">
        <f>'[14]PYG PRESUPUESTO'!L$65</f>
        <v>133381.38044527266</v>
      </c>
      <c r="FX3" s="12">
        <f>'[14]PYG PRESUPUESTO'!M$65</f>
        <v>135099.31163825435</v>
      </c>
      <c r="FY3" s="10">
        <f>'[14]PYG PRESUPUESTO'!N$65</f>
        <v>135786.94734105302</v>
      </c>
      <c r="FZ3" s="12">
        <f>'[15]PYG PRESUPUESTO'!C$65</f>
        <v>124923.91745179573</v>
      </c>
      <c r="GA3" s="12">
        <f>'[15]PYG PRESUPUESTO'!D$65</f>
        <v>124827.16979065583</v>
      </c>
      <c r="GB3" s="12">
        <f>'[15]PYG PRESUPUESTO'!E$65</f>
        <v>131211.29938636711</v>
      </c>
      <c r="GC3" s="12">
        <f>'[15]PYG PRESUPUESTO'!F$65</f>
        <v>128177.39678431301</v>
      </c>
      <c r="GD3" s="12">
        <f>'[15]PYG PRESUPUESTO'!G$65</f>
        <v>131102.6252164295</v>
      </c>
      <c r="GE3" s="12">
        <f>'[15]PYG PRESUPUESTO'!H$65</f>
        <v>131499.05851101718</v>
      </c>
      <c r="GF3" s="12">
        <f>'[15]PYG PRESUPUESTO'!I$65</f>
        <v>133792.32531281721</v>
      </c>
      <c r="GG3" s="12">
        <f>'[15]PYG PRESUPUESTO'!J$65</f>
        <v>137941.92761732748</v>
      </c>
      <c r="GH3" s="12">
        <f>'[15]PYG PRESUPUESTO'!K$65</f>
        <v>138650.5588539459</v>
      </c>
      <c r="GI3" s="12">
        <f>'[15]PYG PRESUPUESTO'!L$65</f>
        <v>144109.76682101368</v>
      </c>
      <c r="GJ3" s="12">
        <f>'[15]PYG PRESUPUESTO'!M$65</f>
        <v>146772.79121668485</v>
      </c>
      <c r="GK3" s="10">
        <f>'[15]PYG PRESUPUESTO'!N$65</f>
        <v>149062.19419518736</v>
      </c>
      <c r="GL3" s="12">
        <f>'[16]PYG PRESUPUESTO'!C$65</f>
        <v>110671.71154399018</v>
      </c>
      <c r="GM3" s="12">
        <f>'[16]PYG PRESUPUESTO'!D$65</f>
        <v>109789.74791661922</v>
      </c>
      <c r="GN3" s="12">
        <f>'[16]PYG PRESUPUESTO'!E$65</f>
        <v>114855.02821951879</v>
      </c>
      <c r="GO3" s="12">
        <f>'[16]PYG PRESUPUESTO'!F$65</f>
        <v>112220.30526581018</v>
      </c>
      <c r="GP3" s="12">
        <f>'[16]PYG PRESUPUESTO'!G$65</f>
        <v>113494.85434162416</v>
      </c>
      <c r="GQ3" s="12">
        <f>'[16]PYG PRESUPUESTO'!H$65</f>
        <v>114477.43824170801</v>
      </c>
      <c r="GR3" s="12">
        <f>'[16]PYG PRESUPUESTO'!I$65</f>
        <v>115497.71400717743</v>
      </c>
      <c r="GS3" s="12">
        <f>'[16]PYG PRESUPUESTO'!J$65</f>
        <v>116669.23089703386</v>
      </c>
      <c r="GT3" s="12">
        <f>'[16]PYG PRESUPUESTO'!K$65</f>
        <v>118003.68620703403</v>
      </c>
      <c r="GU3" s="12">
        <f>'[16]PYG PRESUPUESTO'!L$65</f>
        <v>118447.8430856968</v>
      </c>
      <c r="GV3" s="12">
        <f>'[16]PYG PRESUPUESTO'!M$65</f>
        <v>120127.62189555583</v>
      </c>
      <c r="GW3" s="10">
        <f>'[16]PYG PRESUPUESTO'!N$65</f>
        <v>120606.2958580289</v>
      </c>
      <c r="GX3" s="12">
        <f>'[17]PYG PRESUPUESTO'!C$65</f>
        <v>115220.00252379446</v>
      </c>
      <c r="GY3" s="12">
        <f>'[17]PYG PRESUPUESTO'!D$65</f>
        <v>116159.96166897743</v>
      </c>
      <c r="GZ3" s="12">
        <f>'[17]PYG PRESUPUESTO'!E$65</f>
        <v>126448.1769818617</v>
      </c>
      <c r="HA3" s="12">
        <f>'[17]PYG PRESUPUESTO'!F$65</f>
        <v>123123.12980628374</v>
      </c>
      <c r="HB3" s="12">
        <f>'[17]PYG PRESUPUESTO'!G$65</f>
        <v>126329.88046460063</v>
      </c>
      <c r="HC3" s="12">
        <f>'[17]PYG PRESUPUESTO'!H$65</f>
        <v>129474.71135746018</v>
      </c>
      <c r="HD3" s="12">
        <f>'[17]PYG PRESUPUESTO'!I$65</f>
        <v>130692.43069344833</v>
      </c>
      <c r="HE3" s="12">
        <f>'[17]PYG PRESUPUESTO'!J$65</f>
        <v>134278.89391026655</v>
      </c>
      <c r="HF3" s="12">
        <f>'[17]PYG PRESUPUESTO'!K$65</f>
        <v>136149.26468689731</v>
      </c>
      <c r="HG3" s="12">
        <f>'[17]PYG PRESUPUESTO'!L$65</f>
        <v>139919.22720250391</v>
      </c>
      <c r="HH3" s="12">
        <f>'[17]PYG PRESUPUESTO'!M$65</f>
        <v>142288.46809269104</v>
      </c>
      <c r="HI3" s="10">
        <f>'[17]PYG PRESUPUESTO'!N$65</f>
        <v>145135.13501523802</v>
      </c>
      <c r="HJ3" s="12">
        <f>'[18]PYG PRESUPUESTO'!C$65</f>
        <v>172145.82076901247</v>
      </c>
      <c r="HK3" s="12">
        <f>'[18]PYG PRESUPUESTO'!D$65</f>
        <v>173635.77103101369</v>
      </c>
      <c r="HL3" s="12">
        <f>'[18]PYG PRESUPUESTO'!E$65</f>
        <v>189277.99339600446</v>
      </c>
      <c r="HM3" s="12">
        <f>'[18]PYG PRESUPUESTO'!F$65</f>
        <v>184012.47116155495</v>
      </c>
      <c r="HN3" s="12">
        <f>'[18]PYG PRESUPUESTO'!G$65</f>
        <v>190200.48085718963</v>
      </c>
      <c r="HO3" s="12">
        <f>'[18]PYG PRESUPUESTO'!H$65</f>
        <v>192344.12311074746</v>
      </c>
      <c r="HP3" s="12">
        <f>'[18]PYG PRESUPUESTO'!I$65</f>
        <v>194560.40690211888</v>
      </c>
      <c r="HQ3" s="12">
        <f>'[18]PYG PRESUPUESTO'!J$65</f>
        <v>198257.70303915458</v>
      </c>
      <c r="HR3" s="12">
        <f>'[18]PYG PRESUPUESTO'!K$65</f>
        <v>197783.92632597953</v>
      </c>
      <c r="HS3" s="12">
        <f>'[18]PYG PRESUPUESTO'!L$65</f>
        <v>201403.21685365605</v>
      </c>
      <c r="HT3" s="12">
        <f>'[18]PYG PRESUPUESTO'!M$65</f>
        <v>203302.19663741507</v>
      </c>
      <c r="HU3" s="10">
        <f>'[18]PYG PRESUPUESTO'!N$65</f>
        <v>202826.0394818903</v>
      </c>
      <c r="HV3" s="12">
        <f>'[19]PYG PRESUPUESTO'!C$65</f>
        <v>184151.09840316817</v>
      </c>
      <c r="HW3" s="12">
        <f>'[19]PYG PRESUPUESTO'!D$65</f>
        <v>177485.76815507616</v>
      </c>
      <c r="HX3" s="12">
        <f>'[19]PYG PRESUPUESTO'!E$65</f>
        <v>184853.61803973161</v>
      </c>
      <c r="HY3" s="12">
        <f>'[19]PYG PRESUPUESTO'!F$65</f>
        <v>188536.82765364769</v>
      </c>
      <c r="HZ3" s="12">
        <f>'[19]PYG PRESUPUESTO'!G$65</f>
        <v>187880.85699738801</v>
      </c>
      <c r="IA3" s="12">
        <f>'[19]PYG PRESUPUESTO'!H$65</f>
        <v>182872.13028724998</v>
      </c>
      <c r="IB3" s="12">
        <f>'[19]PYG PRESUPUESTO'!I$65</f>
        <v>187245.8506458209</v>
      </c>
      <c r="IC3" s="12">
        <f>'[19]PYG PRESUPUESTO'!J$65</f>
        <v>197882.5025061295</v>
      </c>
      <c r="ID3" s="12">
        <f>'[19]PYG PRESUPUESTO'!K$65</f>
        <v>198711.18802637421</v>
      </c>
      <c r="IE3" s="12">
        <f>'[19]PYG PRESUPUESTO'!L$65</f>
        <v>204061.95118324066</v>
      </c>
      <c r="IF3" s="12">
        <f>'[19]PYG PRESUPUESTO'!M$65</f>
        <v>204386.91615829297</v>
      </c>
      <c r="IG3" s="10">
        <f>'[19]PYG PRESUPUESTO'!N$65</f>
        <v>209484.50737809532</v>
      </c>
      <c r="IH3" s="12">
        <f>'[20]PYG PRESUPUESTO'!C$65</f>
        <v>179970.62287676529</v>
      </c>
      <c r="II3" s="12">
        <f>'[20]PYG PRESUPUESTO'!D$65</f>
        <v>176134.48565197026</v>
      </c>
      <c r="IJ3" s="12">
        <f>'[20]PYG PRESUPUESTO'!E$65</f>
        <v>189675.95295006272</v>
      </c>
      <c r="IK3" s="12">
        <f>'[20]PYG PRESUPUESTO'!F$65</f>
        <v>182274.27632318679</v>
      </c>
      <c r="IL3" s="12">
        <f>'[20]PYG PRESUPUESTO'!G$65</f>
        <v>185302.18837719891</v>
      </c>
      <c r="IM3" s="12">
        <f>'[20]PYG PRESUPUESTO'!H$65</f>
        <v>182263.15441294626</v>
      </c>
      <c r="IN3" s="12">
        <f>'[20]PYG PRESUPUESTO'!I$65</f>
        <v>186291.0539210673</v>
      </c>
      <c r="IO3" s="12">
        <f>'[20]PYG PRESUPUESTO'!J$65</f>
        <v>188210.70411639023</v>
      </c>
      <c r="IP3" s="12">
        <f>'[20]PYG PRESUPUESTO'!K$65</f>
        <v>188328.31622986845</v>
      </c>
      <c r="IQ3" s="12">
        <f>'[20]PYG PRESUPUESTO'!L$65</f>
        <v>189937.41801433597</v>
      </c>
      <c r="IR3" s="12">
        <f>'[20]PYG PRESUPUESTO'!M$65</f>
        <v>188438.82639765972</v>
      </c>
      <c r="IS3" s="10">
        <f>'[20]PYG PRESUPUESTO'!N$65</f>
        <v>192556.88572927966</v>
      </c>
    </row>
    <row r="4" spans="1:254" x14ac:dyDescent="0.3">
      <c r="A4" s="6" t="s">
        <v>3</v>
      </c>
      <c r="B4" s="2">
        <f>'[1]PYG PRESUPUESTO'!D$78</f>
        <v>14093.620264434951</v>
      </c>
      <c r="C4" s="2">
        <f>'[1]PYG PRESUPUESTO'!E$78</f>
        <v>13900.049437858104</v>
      </c>
      <c r="D4" s="2">
        <f>'[1]PYG PRESUPUESTO'!F$78</f>
        <v>14386.374721816268</v>
      </c>
      <c r="E4" s="2">
        <f>'[1]PYG PRESUPUESTO'!G$78</f>
        <v>14315.991990494918</v>
      </c>
      <c r="F4" s="2">
        <f>'[1]PYG PRESUPUESTO'!H$78</f>
        <v>14489.77260139857</v>
      </c>
      <c r="G4" s="2">
        <f>'[1]PYG PRESUPUESTO'!I$78</f>
        <v>14418.028754992763</v>
      </c>
      <c r="H4" s="2">
        <f>'[1]PYG PRESUPUESTO'!J$78</f>
        <v>14617.887918750595</v>
      </c>
      <c r="I4" s="2">
        <f>'[1]PYG PRESUPUESTO'!K$78</f>
        <v>14679.565901569938</v>
      </c>
      <c r="J4" s="2">
        <f>'[1]PYG PRESUPUESTO'!L$78</f>
        <v>14598.086221905707</v>
      </c>
      <c r="K4" s="2">
        <f>'[1]PYG PRESUPUESTO'!M$78</f>
        <v>14801.535549246313</v>
      </c>
      <c r="L4" s="2">
        <f>'[1]PYG PRESUPUESTO'!N$78</f>
        <v>14709.143342629954</v>
      </c>
      <c r="M4" s="10">
        <f>'[1]PYG PRESUPUESTO'!O$78</f>
        <v>14927.300526272693</v>
      </c>
      <c r="N4" s="2">
        <f>'[2]PYG PRESUPUESTO'!D$81</f>
        <v>11929.845301432179</v>
      </c>
      <c r="O4" s="2">
        <f>'[2]PYG PRESUPUESTO'!E$81</f>
        <v>11612.756042107814</v>
      </c>
      <c r="P4" s="2">
        <f>'[2]PYG PRESUPUESTO'!F$81</f>
        <v>12219.583536825376</v>
      </c>
      <c r="Q4" s="2">
        <f>'[2]PYG PRESUPUESTO'!G$81</f>
        <v>12256.670245216828</v>
      </c>
      <c r="R4" s="2">
        <f>'[2]PYG PRESUPUESTO'!H$81</f>
        <v>12541.310986274913</v>
      </c>
      <c r="S4" s="2">
        <f>'[2]PYG PRESUPUESTO'!I$81</f>
        <v>12569.501682184005</v>
      </c>
      <c r="T4" s="2">
        <f>'[2]PYG PRESUPUESTO'!J$81</f>
        <v>12841.25629590105</v>
      </c>
      <c r="U4" s="2">
        <f>'[2]PYG PRESUPUESTO'!K$81</f>
        <v>12965.784595218889</v>
      </c>
      <c r="V4" s="2">
        <f>'[2]PYG PRESUPUESTO'!L$81</f>
        <v>12942.554453523537</v>
      </c>
      <c r="W4" s="2">
        <f>'[2]PYG PRESUPUESTO'!M$81</f>
        <v>13227.573975810654</v>
      </c>
      <c r="X4" s="2">
        <f>'[2]PYG PRESUPUESTO'!N$81</f>
        <v>13180.06665324112</v>
      </c>
      <c r="Y4" s="10">
        <f>'[2]PYG PRESUPUESTO'!O$81</f>
        <v>13561.188079865475</v>
      </c>
      <c r="Z4" s="12"/>
      <c r="AA4" s="2"/>
      <c r="AB4" s="2"/>
      <c r="AC4" s="2"/>
      <c r="AD4" s="2"/>
      <c r="AE4" s="2"/>
      <c r="AF4" s="2"/>
      <c r="AG4" s="2"/>
      <c r="AH4" s="2"/>
      <c r="AI4" s="2"/>
      <c r="AJ4" s="2"/>
      <c r="AK4" s="10"/>
      <c r="AL4" s="12">
        <f>'[3]PYG PRESUPUESTO'!D$83</f>
        <v>16148.406349484414</v>
      </c>
      <c r="AM4" s="12">
        <f>'[3]PYG PRESUPUESTO'!E$83</f>
        <v>16443.325839939072</v>
      </c>
      <c r="AN4" s="12">
        <f>'[3]PYG PRESUPUESTO'!F$83</f>
        <v>17195.569465043904</v>
      </c>
      <c r="AO4" s="12">
        <f>'[3]PYG PRESUPUESTO'!G$83</f>
        <v>17324.651314703486</v>
      </c>
      <c r="AP4" s="12">
        <f>'[3]PYG PRESUPUESTO'!H$83</f>
        <v>17943.698743044526</v>
      </c>
      <c r="AQ4" s="12">
        <f>'[3]PYG PRESUPUESTO'!I$83</f>
        <v>18257.877630002175</v>
      </c>
      <c r="AR4" s="12">
        <f>'[3]PYG PRESUPUESTO'!J$83</f>
        <v>18629.571163170131</v>
      </c>
      <c r="AS4" s="12">
        <f>'[3]PYG PRESUPUESTO'!K$83</f>
        <v>18862.976621251128</v>
      </c>
      <c r="AT4" s="12">
        <f>'[3]PYG PRESUPUESTO'!L$83</f>
        <v>18742.834521805442</v>
      </c>
      <c r="AU4" s="12">
        <f>'[3]PYG PRESUPUESTO'!M$83</f>
        <v>18969.628297434101</v>
      </c>
      <c r="AV4" s="12">
        <f>'[3]PYG PRESUPUESTO'!N$83</f>
        <v>18548.792210220268</v>
      </c>
      <c r="AW4" s="10">
        <f>'[3]PYG PRESUPUESTO'!O$83</f>
        <v>18806.491239585608</v>
      </c>
      <c r="AX4" s="12">
        <f>'[4]PYG PRESUPUESTO'!D$85</f>
        <v>21230.248937401037</v>
      </c>
      <c r="AY4" s="12">
        <f>'[4]PYG PRESUPUESTO'!E$85</f>
        <v>20717.547625202518</v>
      </c>
      <c r="AZ4" s="12">
        <f>'[4]PYG PRESUPUESTO'!F$85</f>
        <v>20494.133882468475</v>
      </c>
      <c r="BA4" s="12">
        <f>'[4]PYG PRESUPUESTO'!G$85</f>
        <v>21507.966944576099</v>
      </c>
      <c r="BB4" s="12">
        <f>'[4]PYG PRESUPUESTO'!H$85</f>
        <v>22099.402830220311</v>
      </c>
      <c r="BC4" s="12">
        <f>'[4]PYG PRESUPUESTO'!I$85</f>
        <v>21685.169748274333</v>
      </c>
      <c r="BD4" s="12">
        <f>'[4]PYG PRESUPUESTO'!J$85</f>
        <v>21792.670334259845</v>
      </c>
      <c r="BE4" s="12">
        <f>'[4]PYG PRESUPUESTO'!K$85</f>
        <v>22880.901615861691</v>
      </c>
      <c r="BF4" s="12">
        <f>'[4]PYG PRESUPUESTO'!L$85</f>
        <v>22594.048218141899</v>
      </c>
      <c r="BG4" s="12">
        <f>'[4]PYG PRESUPUESTO'!M$85</f>
        <v>22816.505932854223</v>
      </c>
      <c r="BH4" s="12">
        <f>'[4]PYG PRESUPUESTO'!N$85</f>
        <v>22396.657885139241</v>
      </c>
      <c r="BI4" s="10">
        <f>'[4]PYG PRESUPUESTO'!O$85</f>
        <v>23570.554673733128</v>
      </c>
      <c r="BJ4" s="12">
        <f>'[5]PYG PRESUPUESTO'!D$85</f>
        <v>13973.354689899539</v>
      </c>
      <c r="BK4" s="12">
        <f>'[5]PYG PRESUPUESTO'!E$85</f>
        <v>13111.962749757122</v>
      </c>
      <c r="BL4" s="12">
        <f>'[5]PYG PRESUPUESTO'!F$85</f>
        <v>12987.052039227068</v>
      </c>
      <c r="BM4" s="12">
        <f>'[5]PYG PRESUPUESTO'!G$85</f>
        <v>13182.136468922454</v>
      </c>
      <c r="BN4" s="12">
        <f>'[5]PYG PRESUPUESTO'!H$85</f>
        <v>13793.82312956908</v>
      </c>
      <c r="BO4" s="12">
        <f>'[5]PYG PRESUPUESTO'!I$85</f>
        <v>14246.441988221199</v>
      </c>
      <c r="BP4" s="12">
        <f>'[5]PYG PRESUPUESTO'!J$85</f>
        <v>14766.058660192595</v>
      </c>
      <c r="BQ4" s="12">
        <f>'[5]PYG PRESUPUESTO'!K$85</f>
        <v>15048.606484654056</v>
      </c>
      <c r="BR4" s="12">
        <f>'[5]PYG PRESUPUESTO'!L$85</f>
        <v>15210.191904310497</v>
      </c>
      <c r="BS4" s="12">
        <f>'[5]PYG PRESUPUESTO'!M$85</f>
        <v>15886.610114547811</v>
      </c>
      <c r="BT4" s="12">
        <f>'[5]PYG PRESUPUESTO'!N$85</f>
        <v>16182.411607081516</v>
      </c>
      <c r="BU4" s="10">
        <f>'[5]PYG PRESUPUESTO'!O$85</f>
        <v>16917.932998585416</v>
      </c>
      <c r="BV4" s="12">
        <f>'[6]PYG PRESUPUESTO'!D$85</f>
        <v>12096.026018327382</v>
      </c>
      <c r="BW4" s="12">
        <f>'[6]PYG PRESUPUESTO'!E$85</f>
        <v>11692.651175314717</v>
      </c>
      <c r="BX4" s="12">
        <f>'[6]PYG PRESUPUESTO'!F$85</f>
        <v>12217.076010635725</v>
      </c>
      <c r="BY4" s="12">
        <f>'[6]PYG PRESUPUESTO'!G$85</f>
        <v>12623.063472337913</v>
      </c>
      <c r="BZ4" s="12">
        <f>'[6]PYG PRESUPUESTO'!H$85</f>
        <v>13079.571061754499</v>
      </c>
      <c r="CA4" s="12">
        <f>'[6]PYG PRESUPUESTO'!I$85</f>
        <v>13248.582537934368</v>
      </c>
      <c r="CB4" s="12">
        <f>'[6]PYG PRESUPUESTO'!J$85</f>
        <v>14099.122997477327</v>
      </c>
      <c r="CC4" s="12">
        <f>'[6]PYG PRESUPUESTO'!K$85</f>
        <v>14561.340864337599</v>
      </c>
      <c r="CD4" s="12">
        <f>'[6]PYG PRESUPUESTO'!L$85</f>
        <v>14758.735738501069</v>
      </c>
      <c r="CE4" s="12">
        <f>'[6]PYG PRESUPUESTO'!M$85</f>
        <v>15579.885690979034</v>
      </c>
      <c r="CF4" s="12">
        <f>'[6]PYG PRESUPUESTO'!N$85</f>
        <v>15498.626382091608</v>
      </c>
      <c r="CG4" s="10">
        <f>'[6]PYG PRESUPUESTO'!O$85</f>
        <v>15818.548852178592</v>
      </c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0"/>
      <c r="CT4" s="12">
        <f>'[8]PYG PRESUPUESTO'!C$89</f>
        <v>20606.475300367747</v>
      </c>
      <c r="CU4" s="12">
        <f>'[8]PYG PRESUPUESTO'!D$89</f>
        <v>19258.418337713854</v>
      </c>
      <c r="CV4" s="12">
        <f>'[8]PYG PRESUPUESTO'!E$89</f>
        <v>20352.877932465653</v>
      </c>
      <c r="CW4" s="12">
        <f>'[8]PYG PRESUPUESTO'!F$89</f>
        <v>20908.511983224253</v>
      </c>
      <c r="CX4" s="12">
        <f>'[8]PYG PRESUPUESTO'!G$89</f>
        <v>21464.27168116441</v>
      </c>
      <c r="CY4" s="12">
        <f>'[8]PYG PRESUPUESTO'!H$89</f>
        <v>20951.35566565302</v>
      </c>
      <c r="CZ4" s="12">
        <f>'[8]PYG PRESUPUESTO'!I$89</f>
        <v>22312.822677317752</v>
      </c>
      <c r="DA4" s="12">
        <f>'[8]PYG PRESUPUESTO'!J$89</f>
        <v>22737.4821369575</v>
      </c>
      <c r="DB4" s="12">
        <f>'[8]PYG PRESUPUESTO'!K$89</f>
        <v>22464.958446245542</v>
      </c>
      <c r="DC4" s="12">
        <f>'[8]PYG PRESUPUESTO'!L$89</f>
        <v>23124.219879069002</v>
      </c>
      <c r="DD4" s="12">
        <f>'[8]PYG PRESUPUESTO'!M$89</f>
        <v>23246.408345336917</v>
      </c>
      <c r="DE4" s="10">
        <f>'[8]PYG PRESUPUESTO'!N$89</f>
        <v>23444.684997952456</v>
      </c>
      <c r="DF4" s="12">
        <f>'[9]PYG PRESUPUESTO'!C$89</f>
        <v>18254.639711403248</v>
      </c>
      <c r="DG4" s="12">
        <f>'[9]PYG PRESUPUESTO'!D$89</f>
        <v>17305.906696277838</v>
      </c>
      <c r="DH4" s="12">
        <f>'[9]PYG PRESUPUESTO'!E$89</f>
        <v>18360.549261275373</v>
      </c>
      <c r="DI4" s="12">
        <f>'[9]PYG PRESUPUESTO'!F$89</f>
        <v>18567.845016223509</v>
      </c>
      <c r="DJ4" s="12">
        <f>'[9]PYG PRESUPUESTO'!G$89</f>
        <v>19333.665587871212</v>
      </c>
      <c r="DK4" s="12">
        <f>'[9]PYG PRESUPUESTO'!H$89</f>
        <v>19118.779101501372</v>
      </c>
      <c r="DL4" s="12">
        <f>'[9]PYG PRESUPUESTO'!I$89</f>
        <v>20520.263036306296</v>
      </c>
      <c r="DM4" s="12">
        <f>'[9]PYG PRESUPUESTO'!J$89</f>
        <v>21627.188010330829</v>
      </c>
      <c r="DN4" s="12">
        <f>'[9]PYG PRESUPUESTO'!K$89</f>
        <v>22248.690953455389</v>
      </c>
      <c r="DO4" s="12">
        <f>'[9]PYG PRESUPUESTO'!L$89</f>
        <v>24047.825938781352</v>
      </c>
      <c r="DP4" s="12">
        <f>'[9]PYG PRESUPUESTO'!M$89</f>
        <v>24016.71427782948</v>
      </c>
      <c r="DQ4" s="10">
        <f>'[9]PYG PRESUPUESTO'!N$89</f>
        <v>24262.250361025668</v>
      </c>
      <c r="DR4" s="12">
        <f>'[10]PYG PRESUPUESTO'!C$89</f>
        <v>20618.745536820454</v>
      </c>
      <c r="DS4" s="12">
        <f>'[10]PYG PRESUPUESTO'!D$89</f>
        <v>19717.93212574756</v>
      </c>
      <c r="DT4" s="12">
        <f>'[10]PYG PRESUPUESTO'!E$89</f>
        <v>21010.605429227719</v>
      </c>
      <c r="DU4" s="12">
        <f>'[10]PYG PRESUPUESTO'!F$89</f>
        <v>21015.65532599821</v>
      </c>
      <c r="DV4" s="12">
        <f>'[10]PYG PRESUPUESTO'!G$89</f>
        <v>22092.662782568077</v>
      </c>
      <c r="DW4" s="12">
        <f>'[10]PYG PRESUPUESTO'!H$89</f>
        <v>21231.279706975824</v>
      </c>
      <c r="DX4" s="12">
        <f>'[10]PYG PRESUPUESTO'!I$89</f>
        <v>21767.603138499264</v>
      </c>
      <c r="DY4" s="12">
        <f>'[10]PYG PRESUPUESTO'!J$89</f>
        <v>22295.395717440166</v>
      </c>
      <c r="DZ4" s="12">
        <f>'[10]PYG PRESUPUESTO'!K$89</f>
        <v>22240.169715475982</v>
      </c>
      <c r="EA4" s="12">
        <f>'[10]PYG PRESUPUESTO'!L$89</f>
        <v>23002.923832440949</v>
      </c>
      <c r="EB4" s="12">
        <f>'[10]PYG PRESUPUESTO'!M$89</f>
        <v>22149.374558965672</v>
      </c>
      <c r="EC4" s="10">
        <f>'[10]PYG PRESUPUESTO'!N$89</f>
        <v>21865.334606038112</v>
      </c>
      <c r="ED4" s="12">
        <f>'[11]PYG PRESUPUESTO'!C$89</f>
        <v>28644.23264091563</v>
      </c>
      <c r="EE4" s="12">
        <f>'[11]PYG PRESUPUESTO'!D$89</f>
        <v>28815.34341252529</v>
      </c>
      <c r="EF4" s="12">
        <f>'[11]PYG PRESUPUESTO'!E$89</f>
        <v>30496.199655977267</v>
      </c>
      <c r="EG4" s="12">
        <f>'[11]PYG PRESUPUESTO'!F$89</f>
        <v>31408.219383916057</v>
      </c>
      <c r="EH4" s="12">
        <f>'[11]PYG PRESUPUESTO'!G$89</f>
        <v>32895.200654814791</v>
      </c>
      <c r="EI4" s="12">
        <f>'[11]PYG PRESUPUESTO'!H$89</f>
        <v>32809.248716217415</v>
      </c>
      <c r="EJ4" s="12">
        <f>'[11]PYG PRESUPUESTO'!I$89</f>
        <v>34334.164447190531</v>
      </c>
      <c r="EK4" s="12">
        <f>'[11]PYG PRESUPUESTO'!J$89</f>
        <v>35114.08246865384</v>
      </c>
      <c r="EL4" s="12">
        <f>'[11]PYG PRESUPUESTO'!K$89</f>
        <v>34824.354469781094</v>
      </c>
      <c r="EM4" s="12">
        <f>'[11]PYG PRESUPUESTO'!L$89</f>
        <v>35926.321646070472</v>
      </c>
      <c r="EN4" s="12">
        <f>'[11]PYG PRESUPUESTO'!M$89</f>
        <v>35069.596572112227</v>
      </c>
      <c r="EO4" s="10">
        <f>'[11]PYG PRESUPUESTO'!N$89</f>
        <v>34728.623868740986</v>
      </c>
      <c r="EP4" s="12">
        <f>'[12]PYG PRESUPUESTO'!C$89</f>
        <v>39097.508877360706</v>
      </c>
      <c r="EQ4" s="12">
        <f>'[12]PYG PRESUPUESTO'!D$89</f>
        <v>37287.565966936141</v>
      </c>
      <c r="ER4" s="12">
        <f>'[12]PYG PRESUPUESTO'!E$89</f>
        <v>39334.541249228445</v>
      </c>
      <c r="ES4" s="12">
        <f>'[12]PYG PRESUPUESTO'!F$89</f>
        <v>39564.763228065116</v>
      </c>
      <c r="ET4" s="12">
        <f>'[12]PYG PRESUPUESTO'!G$89</f>
        <v>40153.993006036399</v>
      </c>
      <c r="EU4" s="12">
        <f>'[12]PYG PRESUPUESTO'!H$89</f>
        <v>38978.386601890292</v>
      </c>
      <c r="EV4" s="12">
        <f>'[12]PYG PRESUPUESTO'!I$89</f>
        <v>40086.638212155849</v>
      </c>
      <c r="EW4" s="12">
        <f>'[12]PYG PRESUPUESTO'!J$89</f>
        <v>41028.805196588721</v>
      </c>
      <c r="EX4" s="12">
        <f>'[12]PYG PRESUPUESTO'!K$89</f>
        <v>40784.662729151431</v>
      </c>
      <c r="EY4" s="12">
        <f>'[12]PYG PRESUPUESTO'!L$89</f>
        <v>41023.492091425251</v>
      </c>
      <c r="EZ4" s="12">
        <f>'[12]PYG PRESUPUESTO'!M$89</f>
        <v>40017.900865222771</v>
      </c>
      <c r="FA4" s="10">
        <f>'[12]PYG PRESUPUESTO'!N$89</f>
        <v>40390.618655462909</v>
      </c>
      <c r="FB4" s="12">
        <f>'[13]PYG PRESUPUESTO'!C$89</f>
        <v>31099.12043573389</v>
      </c>
      <c r="FC4" s="12">
        <f>'[13]PYG PRESUPUESTO'!D$89</f>
        <v>29815.955438960074</v>
      </c>
      <c r="FD4" s="12">
        <f>'[13]PYG PRESUPUESTO'!E$89</f>
        <v>30681.523538953217</v>
      </c>
      <c r="FE4" s="12">
        <f>'[13]PYG PRESUPUESTO'!F$89</f>
        <v>30193.939376571991</v>
      </c>
      <c r="FF4" s="12">
        <f>'[13]PYG PRESUPUESTO'!G$89</f>
        <v>30133.595839636491</v>
      </c>
      <c r="FG4" s="12">
        <f>'[13]PYG PRESUPUESTO'!H$89</f>
        <v>29987.522561350521</v>
      </c>
      <c r="FH4" s="12">
        <f>'[13]PYG PRESUPUESTO'!I$89</f>
        <v>30705.965509925551</v>
      </c>
      <c r="FI4" s="12">
        <f>'[13]PYG PRESUPUESTO'!J$89</f>
        <v>31149.458726957899</v>
      </c>
      <c r="FJ4" s="12">
        <f>'[13]PYG PRESUPUESTO'!K$89</f>
        <v>31153.507224654746</v>
      </c>
      <c r="FK4" s="12">
        <f>'[13]PYG PRESUPUESTO'!L$89</f>
        <v>31995.930667376728</v>
      </c>
      <c r="FL4" s="12">
        <f>'[13]PYG PRESUPUESTO'!M$89</f>
        <v>31707.011400087806</v>
      </c>
      <c r="FM4" s="10">
        <f>'[13]PYG PRESUPUESTO'!N$89</f>
        <v>32181.985177124989</v>
      </c>
      <c r="FN4" s="12">
        <f>'[14]PYG PRESUPUESTO'!C$89</f>
        <v>34189.212514180857</v>
      </c>
      <c r="FO4" s="12">
        <f>'[14]PYG PRESUPUESTO'!D$89</f>
        <v>33271.826532896201</v>
      </c>
      <c r="FP4" s="12">
        <f>'[14]PYG PRESUPUESTO'!E$89</f>
        <v>34701.616928750067</v>
      </c>
      <c r="FQ4" s="12">
        <f>'[14]PYG PRESUPUESTO'!F$89</f>
        <v>34569.405728632933</v>
      </c>
      <c r="FR4" s="12">
        <f>'[14]PYG PRESUPUESTO'!G$89</f>
        <v>35422.80860154151</v>
      </c>
      <c r="FS4" s="12">
        <f>'[14]PYG PRESUPUESTO'!H$89</f>
        <v>35668.385815423462</v>
      </c>
      <c r="FT4" s="12">
        <f>'[14]PYG PRESUPUESTO'!I$89</f>
        <v>36782.187010754235</v>
      </c>
      <c r="FU4" s="12">
        <f>'[14]PYG PRESUPUESTO'!J$89</f>
        <v>37748.901291330883</v>
      </c>
      <c r="FV4" s="12">
        <f>'[14]PYG PRESUPUESTO'!K$89</f>
        <v>38297.230263750906</v>
      </c>
      <c r="FW4" s="12">
        <f>'[14]PYG PRESUPUESTO'!L$89</f>
        <v>39721.803196250825</v>
      </c>
      <c r="FX4" s="12">
        <f>'[14]PYG PRESUPUESTO'!M$89</f>
        <v>39562.784579625382</v>
      </c>
      <c r="FY4" s="10">
        <f>'[14]PYG PRESUPUESTO'!N$89</f>
        <v>40069.157911077462</v>
      </c>
      <c r="FZ4" s="12">
        <f>'[15]PYG PRESUPUESTO'!C$89</f>
        <v>36076.822863523164</v>
      </c>
      <c r="GA4" s="12">
        <f>'[15]PYG PRESUPUESTO'!D$89</f>
        <v>35616.565777897238</v>
      </c>
      <c r="GB4" s="12">
        <f>'[15]PYG PRESUPUESTO'!E$89</f>
        <v>37125.374894986293</v>
      </c>
      <c r="GC4" s="12">
        <f>'[15]PYG PRESUPUESTO'!F$89</f>
        <v>37171.79612581175</v>
      </c>
      <c r="GD4" s="12">
        <f>'[15]PYG PRESUPUESTO'!G$89</f>
        <v>38300.821872303452</v>
      </c>
      <c r="GE4" s="12">
        <f>'[15]PYG PRESUPUESTO'!H$89</f>
        <v>38696.349934676095</v>
      </c>
      <c r="GF4" s="12">
        <f>'[15]PYG PRESUPUESTO'!I$89</f>
        <v>40400.678827009811</v>
      </c>
      <c r="GG4" s="12">
        <f>'[15]PYG PRESUPUESTO'!J$89</f>
        <v>41534.801094111142</v>
      </c>
      <c r="GH4" s="12">
        <f>'[15]PYG PRESUPUESTO'!K$89</f>
        <v>42223.391942766299</v>
      </c>
      <c r="GI4" s="12">
        <f>'[15]PYG PRESUPUESTO'!L$89</f>
        <v>44133.388720470175</v>
      </c>
      <c r="GJ4" s="12">
        <f>'[15]PYG PRESUPUESTO'!M$89</f>
        <v>44829.254397331111</v>
      </c>
      <c r="GK4" s="10">
        <f>'[15]PYG PRESUPUESTO'!N$89</f>
        <v>46167.525316214211</v>
      </c>
      <c r="GL4" s="12">
        <f>'[16]PYG PRESUPUESTO'!C$89</f>
        <v>21868.675445590598</v>
      </c>
      <c r="GM4" s="12">
        <f>'[16]PYG PRESUPUESTO'!D$89</f>
        <v>22124.389865220044</v>
      </c>
      <c r="GN4" s="12">
        <f>'[16]PYG PRESUPUESTO'!E$89</f>
        <v>21867.661184391</v>
      </c>
      <c r="GO4" s="12">
        <f>'[16]PYG PRESUPUESTO'!F$89</f>
        <v>21390.390270057436</v>
      </c>
      <c r="GP4" s="12">
        <f>'[16]PYG PRESUPUESTO'!G$89</f>
        <v>21805.801610078466</v>
      </c>
      <c r="GQ4" s="12">
        <f>'[16]PYG PRESUPUESTO'!H$89</f>
        <v>21485.784033675489</v>
      </c>
      <c r="GR4" s="12">
        <f>'[16]PYG PRESUPUESTO'!I$89</f>
        <v>22758.837681853536</v>
      </c>
      <c r="GS4" s="12">
        <f>'[16]PYG PRESUPUESTO'!J$89</f>
        <v>23017.798110886815</v>
      </c>
      <c r="GT4" s="12">
        <f>'[16]PYG PRESUPUESTO'!K$89</f>
        <v>22848.265331488594</v>
      </c>
      <c r="GU4" s="12">
        <f>'[16]PYG PRESUPUESTO'!L$89</f>
        <v>23489.790420457255</v>
      </c>
      <c r="GV4" s="12">
        <f>'[16]PYG PRESUPUESTO'!M$89</f>
        <v>24204.786344012995</v>
      </c>
      <c r="GW4" s="10">
        <f>'[16]PYG PRESUPUESTO'!N$89</f>
        <v>24663.8150851102</v>
      </c>
      <c r="GX4" s="12">
        <f>'[17]PYG PRESUPUESTO'!C$89</f>
        <v>29314.292825535005</v>
      </c>
      <c r="GY4" s="12">
        <f>'[17]PYG PRESUPUESTO'!D$89</f>
        <v>28173.465790652092</v>
      </c>
      <c r="GZ4" s="12">
        <f>'[17]PYG PRESUPUESTO'!E$89</f>
        <v>31848.695203592666</v>
      </c>
      <c r="HA4" s="12">
        <f>'[17]PYG PRESUPUESTO'!F$89</f>
        <v>32876.32257645957</v>
      </c>
      <c r="HB4" s="12">
        <f>'[17]PYG PRESUPUESTO'!G$89</f>
        <v>35056.19781380018</v>
      </c>
      <c r="HC4" s="12">
        <f>'[17]PYG PRESUPUESTO'!H$89</f>
        <v>35074.178889353541</v>
      </c>
      <c r="HD4" s="12">
        <f>'[17]PYG PRESUPUESTO'!I$89</f>
        <v>37154.589424556536</v>
      </c>
      <c r="HE4" s="12">
        <f>'[17]PYG PRESUPUESTO'!J$89</f>
        <v>38696.075496413454</v>
      </c>
      <c r="HF4" s="12">
        <f>'[17]PYG PRESUPUESTO'!K$89</f>
        <v>39238.108440045573</v>
      </c>
      <c r="HG4" s="12">
        <f>'[17]PYG PRESUPUESTO'!L$89</f>
        <v>41610.989132002185</v>
      </c>
      <c r="HH4" s="12">
        <f>'[17]PYG PRESUPUESTO'!M$89</f>
        <v>41264.348590395217</v>
      </c>
      <c r="HI4" s="10">
        <f>'[17]PYG PRESUPUESTO'!N$89</f>
        <v>43547.799342553648</v>
      </c>
      <c r="HJ4" s="12">
        <f>'[18]PYG PRESUPUESTO'!C$89</f>
        <v>105231.55030404028</v>
      </c>
      <c r="HK4" s="12">
        <f>'[18]PYG PRESUPUESTO'!D$89</f>
        <v>99974.577501029868</v>
      </c>
      <c r="HL4" s="12">
        <f>'[18]PYG PRESUPUESTO'!E$89</f>
        <v>107071.77255371067</v>
      </c>
      <c r="HM4" s="12">
        <f>'[18]PYG PRESUPUESTO'!F$89</f>
        <v>106229.70469137374</v>
      </c>
      <c r="HN4" s="12">
        <f>'[18]PYG PRESUPUESTO'!G$89</f>
        <v>109430.93865569722</v>
      </c>
      <c r="HO4" s="12">
        <f>'[18]PYG PRESUPUESTO'!H$89</f>
        <v>107690.45792285437</v>
      </c>
      <c r="HP4" s="12">
        <f>'[18]PYG PRESUPUESTO'!I$89</f>
        <v>104860.87717804995</v>
      </c>
      <c r="HQ4" s="12">
        <f>'[18]PYG PRESUPUESTO'!J$89</f>
        <v>101291.56415997895</v>
      </c>
      <c r="HR4" s="12">
        <f>'[18]PYG PRESUPUESTO'!K$89</f>
        <v>97866.684437386459</v>
      </c>
      <c r="HS4" s="12">
        <f>'[18]PYG PRESUPUESTO'!L$89</f>
        <v>98173.648258162386</v>
      </c>
      <c r="HT4" s="12">
        <f>'[18]PYG PRESUPUESTO'!M$89</f>
        <v>92316.285937773282</v>
      </c>
      <c r="HU4" s="10">
        <f>'[18]PYG PRESUPUESTO'!N$89</f>
        <v>91864.726678867373</v>
      </c>
      <c r="HV4" s="12">
        <f>'[19]PYG PRESUPUESTO'!C$89</f>
        <v>115902.48129160175</v>
      </c>
      <c r="HW4" s="12">
        <f>'[19]PYG PRESUPUESTO'!D$89</f>
        <v>107944.35630411262</v>
      </c>
      <c r="HX4" s="12">
        <f>'[19]PYG PRESUPUESTO'!E$89</f>
        <v>109662.97934558504</v>
      </c>
      <c r="HY4" s="12">
        <f>'[19]PYG PRESUPUESTO'!F$89</f>
        <v>103396.34513934424</v>
      </c>
      <c r="HZ4" s="12">
        <f>'[19]PYG PRESUPUESTO'!G$89</f>
        <v>98204.69247971478</v>
      </c>
      <c r="IA4" s="12">
        <f>'[19]PYG PRESUPUESTO'!H$89</f>
        <v>96441.639648433382</v>
      </c>
      <c r="IB4" s="12">
        <f>'[19]PYG PRESUPUESTO'!I$89</f>
        <v>96471.436547676683</v>
      </c>
      <c r="IC4" s="12">
        <f>'[19]PYG PRESUPUESTO'!J$89</f>
        <v>93104.377068108341</v>
      </c>
      <c r="ID4" s="12">
        <f>'[19]PYG PRESUPUESTO'!K$89</f>
        <v>91158.598000000537</v>
      </c>
      <c r="IE4" s="12">
        <f>'[19]PYG PRESUPUESTO'!L$89</f>
        <v>90261.951567698168</v>
      </c>
      <c r="IF4" s="12">
        <f>'[19]PYG PRESUPUESTO'!M$89</f>
        <v>85622.599369685529</v>
      </c>
      <c r="IG4" s="10">
        <f>'[19]PYG PRESUPUESTO'!N$89</f>
        <v>86908.376441476474</v>
      </c>
      <c r="IH4" s="12">
        <f>'[20]PYG PRESUPUESTO'!C$89</f>
        <v>85327.260523086487</v>
      </c>
      <c r="II4" s="12">
        <f>'[20]PYG PRESUPUESTO'!D$89</f>
        <v>80330.906627408171</v>
      </c>
      <c r="IJ4" s="12">
        <f>'[20]PYG PRESUPUESTO'!E$89</f>
        <v>83402.950553033384</v>
      </c>
      <c r="IK4" s="12">
        <f>'[20]PYG PRESUPUESTO'!F$89</f>
        <v>75987.7636603094</v>
      </c>
      <c r="IL4" s="12">
        <f>'[20]PYG PRESUPUESTO'!G$89</f>
        <v>74571.493847846185</v>
      </c>
      <c r="IM4" s="12">
        <f>'[20]PYG PRESUPUESTO'!H$89</f>
        <v>72846.202588755055</v>
      </c>
      <c r="IN4" s="12">
        <f>'[20]PYG PRESUPUESTO'!I$89</f>
        <v>71489.431834838557</v>
      </c>
      <c r="IO4" s="12">
        <f>'[20]PYG PRESUPUESTO'!J$89</f>
        <v>68879.031916300853</v>
      </c>
      <c r="IP4" s="12">
        <f>'[20]PYG PRESUPUESTO'!K$89</f>
        <v>67057.779358819869</v>
      </c>
      <c r="IQ4" s="12">
        <f>'[20]PYG PRESUPUESTO'!L$89</f>
        <v>65698.14942016323</v>
      </c>
      <c r="IR4" s="12">
        <f>'[20]PYG PRESUPUESTO'!M$89</f>
        <v>64393.972409130743</v>
      </c>
      <c r="IS4" s="10">
        <f>'[20]PYG PRESUPUESTO'!N$89</f>
        <v>65443.390516804815</v>
      </c>
      <c r="IT4" t="s">
        <v>19</v>
      </c>
    </row>
    <row r="5" spans="1:254" x14ac:dyDescent="0.3">
      <c r="A5" s="6" t="s">
        <v>4</v>
      </c>
      <c r="B5" s="2">
        <f>B3-B4</f>
        <v>18696.457644548074</v>
      </c>
      <c r="C5" s="2">
        <f t="shared" ref="C5:M5" si="0">C3-C4</f>
        <v>18228.470555507258</v>
      </c>
      <c r="D5" s="2">
        <f t="shared" si="0"/>
        <v>22741.906815580624</v>
      </c>
      <c r="E5" s="2">
        <f t="shared" si="0"/>
        <v>21932.381391521027</v>
      </c>
      <c r="F5" s="2">
        <f t="shared" si="0"/>
        <v>21497.939174938914</v>
      </c>
      <c r="G5" s="2">
        <f t="shared" si="0"/>
        <v>20486.199365457313</v>
      </c>
      <c r="H5" s="2">
        <f t="shared" si="0"/>
        <v>21419.271740683587</v>
      </c>
      <c r="I5" s="2">
        <f t="shared" si="0"/>
        <v>19632.89273329396</v>
      </c>
      <c r="J5" s="2">
        <f t="shared" si="0"/>
        <v>19347.193533557474</v>
      </c>
      <c r="K5" s="2">
        <f t="shared" si="0"/>
        <v>20487.478165901244</v>
      </c>
      <c r="L5" s="2">
        <f t="shared" si="0"/>
        <v>19774.939970677187</v>
      </c>
      <c r="M5" s="10">
        <f t="shared" si="0"/>
        <v>21859.143482147752</v>
      </c>
      <c r="N5" s="2">
        <f>N3-N4</f>
        <v>18765.452905583879</v>
      </c>
      <c r="O5" s="2">
        <f t="shared" ref="O5:Y5" si="1">O3-O4</f>
        <v>18803.801835558843</v>
      </c>
      <c r="P5" s="2">
        <f t="shared" si="1"/>
        <v>21477.727604858032</v>
      </c>
      <c r="Q5" s="2">
        <f t="shared" si="1"/>
        <v>22263.896993745944</v>
      </c>
      <c r="R5" s="2">
        <f t="shared" si="1"/>
        <v>20976.476791700217</v>
      </c>
      <c r="S5" s="2">
        <f t="shared" si="1"/>
        <v>20808.733391950045</v>
      </c>
      <c r="T5" s="2">
        <f t="shared" si="1"/>
        <v>21839.313436889232</v>
      </c>
      <c r="U5" s="2">
        <f t="shared" si="1"/>
        <v>21534.586280720694</v>
      </c>
      <c r="V5" s="2">
        <f t="shared" si="1"/>
        <v>21162.588060288937</v>
      </c>
      <c r="W5" s="2">
        <f t="shared" si="1"/>
        <v>22218.890080920686</v>
      </c>
      <c r="X5" s="2">
        <f t="shared" si="1"/>
        <v>22258.566323138264</v>
      </c>
      <c r="Y5" s="10">
        <f t="shared" si="1"/>
        <v>21644.616511125249</v>
      </c>
      <c r="Z5" s="12"/>
      <c r="AA5" s="2"/>
      <c r="AB5" s="2"/>
      <c r="AC5" s="2"/>
      <c r="AD5" s="2"/>
      <c r="AE5" s="2"/>
      <c r="AF5" s="2"/>
      <c r="AG5" s="2"/>
      <c r="AH5" s="2"/>
      <c r="AI5" s="2"/>
      <c r="AJ5" s="2"/>
      <c r="AK5" s="10"/>
      <c r="AL5" s="12">
        <f>AL3-AL4</f>
        <v>32554.479566139991</v>
      </c>
      <c r="AM5" s="12">
        <f t="shared" ref="AM5:AX5" si="2">AM3-AM4</f>
        <v>32683.34161327907</v>
      </c>
      <c r="AN5" s="12">
        <f t="shared" si="2"/>
        <v>35463.330304396972</v>
      </c>
      <c r="AO5" s="12">
        <f t="shared" si="2"/>
        <v>34846.856369737099</v>
      </c>
      <c r="AP5" s="12">
        <f t="shared" si="2"/>
        <v>35875.50932204425</v>
      </c>
      <c r="AQ5" s="12">
        <f t="shared" si="2"/>
        <v>36513.482207403009</v>
      </c>
      <c r="AR5" s="12">
        <f t="shared" si="2"/>
        <v>38511.439998745278</v>
      </c>
      <c r="AS5" s="12">
        <f t="shared" si="2"/>
        <v>39535.572226150834</v>
      </c>
      <c r="AT5" s="12">
        <f t="shared" si="2"/>
        <v>40693.801241204361</v>
      </c>
      <c r="AU5" s="12">
        <f t="shared" si="2"/>
        <v>42062.637272163505</v>
      </c>
      <c r="AV5" s="12">
        <f t="shared" si="2"/>
        <v>43150.609790284347</v>
      </c>
      <c r="AW5" s="10">
        <f t="shared" si="2"/>
        <v>43572.310116505854</v>
      </c>
      <c r="AX5" s="12">
        <f t="shared" si="2"/>
        <v>40101.549064905572</v>
      </c>
      <c r="AY5" s="12">
        <f t="shared" ref="AY5" si="3">AY3-AY4</f>
        <v>39957.238937565329</v>
      </c>
      <c r="AZ5" s="12">
        <f t="shared" ref="AZ5" si="4">AZ3-AZ4</f>
        <v>45114.747919235029</v>
      </c>
      <c r="BA5" s="12">
        <f t="shared" ref="BA5" si="5">BA3-BA4</f>
        <v>43300.053372533352</v>
      </c>
      <c r="BB5" s="12">
        <f t="shared" ref="BB5" si="6">BB3-BB4</f>
        <v>44299.135569083839</v>
      </c>
      <c r="BC5" s="12">
        <f t="shared" ref="BC5" si="7">BC3-BC4</f>
        <v>45046.27005702164</v>
      </c>
      <c r="BD5" s="12">
        <f t="shared" ref="BD5" si="8">BD3-BD4</f>
        <v>45359.656291620384</v>
      </c>
      <c r="BE5" s="12">
        <f t="shared" ref="BE5" si="9">BE3-BE4</f>
        <v>46342.996637221877</v>
      </c>
      <c r="BF5" s="12">
        <f t="shared" ref="BF5" si="10">BF3-BF4</f>
        <v>46797.239544571472</v>
      </c>
      <c r="BG5" s="12">
        <f t="shared" ref="BG5" si="11">BG3-BG4</f>
        <v>48187.436292788843</v>
      </c>
      <c r="BH5" s="12">
        <f t="shared" ref="BH5" si="12">BH3-BH4</f>
        <v>49616.805784815951</v>
      </c>
      <c r="BI5" s="10">
        <f t="shared" ref="BI5" si="13">BI3-BI4</f>
        <v>59023.158214916562</v>
      </c>
      <c r="BJ5" s="12">
        <f t="shared" ref="BJ5" si="14">BJ3-BJ4</f>
        <v>42537.916231837611</v>
      </c>
      <c r="BK5" s="12">
        <f t="shared" ref="BK5" si="15">BK3-BK4</f>
        <v>42531.03937351238</v>
      </c>
      <c r="BL5" s="12">
        <f t="shared" ref="BL5" si="16">BL3-BL4</f>
        <v>50510.332914989202</v>
      </c>
      <c r="BM5" s="12">
        <f t="shared" ref="BM5" si="17">BM3-BM4</f>
        <v>45355.19386497511</v>
      </c>
      <c r="BN5" s="12">
        <f t="shared" ref="BN5" si="18">BN3-BN4</f>
        <v>46777.441038790319</v>
      </c>
      <c r="BO5" s="12">
        <f t="shared" ref="BO5" si="19">BO3-BO4</f>
        <v>47209.33091542052</v>
      </c>
      <c r="BP5" s="12">
        <f t="shared" ref="BP5" si="20">BP3-BP4</f>
        <v>51570.942043282201</v>
      </c>
      <c r="BQ5" s="12">
        <f t="shared" ref="BQ5" si="21">BQ3-BQ4</f>
        <v>51194.860623176341</v>
      </c>
      <c r="BR5" s="12">
        <f t="shared" ref="BR5" si="22">BR3-BR4</f>
        <v>49916.426655319083</v>
      </c>
      <c r="BS5" s="12">
        <f t="shared" ref="BS5" si="23">BS3-BS4</f>
        <v>49923.114391480623</v>
      </c>
      <c r="BT5" s="12">
        <f t="shared" ref="BT5" si="24">BT3-BT4</f>
        <v>52629.635409824092</v>
      </c>
      <c r="BU5" s="10">
        <f t="shared" ref="BU5:BV5" si="25">BU3-BU4</f>
        <v>58449.411536832762</v>
      </c>
      <c r="BV5" s="12">
        <f t="shared" si="25"/>
        <v>49554.091958863413</v>
      </c>
      <c r="BW5" s="12">
        <f t="shared" ref="BW5:CH5" si="26">BW3-BW4</f>
        <v>57583.998704164624</v>
      </c>
      <c r="BX5" s="12">
        <f t="shared" si="26"/>
        <v>45859.719226500747</v>
      </c>
      <c r="BY5" s="12">
        <f t="shared" si="26"/>
        <v>44512.310982779803</v>
      </c>
      <c r="BZ5" s="12">
        <f t="shared" si="26"/>
        <v>49401.011934916045</v>
      </c>
      <c r="CA5" s="12">
        <f t="shared" si="26"/>
        <v>45236.193323046959</v>
      </c>
      <c r="CB5" s="12">
        <f t="shared" si="26"/>
        <v>45097.831621029676</v>
      </c>
      <c r="CC5" s="12">
        <f t="shared" si="26"/>
        <v>45922.754982846644</v>
      </c>
      <c r="CD5" s="12">
        <f t="shared" si="26"/>
        <v>46625.890160466159</v>
      </c>
      <c r="CE5" s="12">
        <f t="shared" si="26"/>
        <v>47305.594212004762</v>
      </c>
      <c r="CF5" s="12">
        <f t="shared" si="26"/>
        <v>47866.059012728838</v>
      </c>
      <c r="CG5" s="10">
        <f t="shared" si="26"/>
        <v>50108.551130708453</v>
      </c>
      <c r="CH5" s="12"/>
      <c r="CI5" s="12"/>
      <c r="CJ5" s="12"/>
      <c r="CK5" s="12"/>
      <c r="CL5" s="12"/>
      <c r="CM5" s="12"/>
      <c r="CN5" s="12"/>
      <c r="CO5" s="12"/>
      <c r="CP5" s="12"/>
      <c r="CQ5" s="12"/>
      <c r="CR5" s="12"/>
      <c r="CS5" s="10"/>
      <c r="CT5" s="12">
        <f t="shared" ref="CI5:CT5" si="27">CT3-CT4</f>
        <v>61521.628254724972</v>
      </c>
      <c r="CU5" s="12">
        <f t="shared" ref="CU5:DF5" si="28">CU3-CU4</f>
        <v>60466.116609309407</v>
      </c>
      <c r="CV5" s="12">
        <f t="shared" si="28"/>
        <v>70283.909928901208</v>
      </c>
      <c r="CW5" s="12">
        <f t="shared" si="28"/>
        <v>57967.336037216359</v>
      </c>
      <c r="CX5" s="12">
        <f t="shared" si="28"/>
        <v>62852.290033890342</v>
      </c>
      <c r="CY5" s="12">
        <f t="shared" si="28"/>
        <v>60640.273265109288</v>
      </c>
      <c r="CZ5" s="12">
        <f t="shared" si="28"/>
        <v>59830.780241821201</v>
      </c>
      <c r="DA5" s="12">
        <f t="shared" si="28"/>
        <v>59634.628739274754</v>
      </c>
      <c r="DB5" s="12">
        <f t="shared" si="28"/>
        <v>60961.776774486789</v>
      </c>
      <c r="DC5" s="12">
        <f t="shared" si="28"/>
        <v>62632.021774784764</v>
      </c>
      <c r="DD5" s="12">
        <f t="shared" si="28"/>
        <v>63342.51065846219</v>
      </c>
      <c r="DE5" s="10">
        <f t="shared" si="28"/>
        <v>63944.446251923611</v>
      </c>
      <c r="DF5" s="12">
        <f t="shared" si="28"/>
        <v>57406.988585887273</v>
      </c>
      <c r="DG5" s="12">
        <f t="shared" ref="DG5:DR5" si="29">DG3-DG4</f>
        <v>57357.52439316392</v>
      </c>
      <c r="DH5" s="12">
        <f t="shared" si="29"/>
        <v>59388.175415372563</v>
      </c>
      <c r="DI5" s="12">
        <f t="shared" si="29"/>
        <v>63350.475130806561</v>
      </c>
      <c r="DJ5" s="12">
        <f t="shared" si="29"/>
        <v>60603.261845695517</v>
      </c>
      <c r="DK5" s="12">
        <f t="shared" si="29"/>
        <v>61867.893603274504</v>
      </c>
      <c r="DL5" s="12">
        <f t="shared" si="29"/>
        <v>61637.07004706825</v>
      </c>
      <c r="DM5" s="12">
        <f t="shared" si="29"/>
        <v>61560.934115951626</v>
      </c>
      <c r="DN5" s="12">
        <f t="shared" si="29"/>
        <v>63445.007534118486</v>
      </c>
      <c r="DO5" s="12">
        <f t="shared" si="29"/>
        <v>62306.629224602286</v>
      </c>
      <c r="DP5" s="12">
        <f t="shared" si="29"/>
        <v>68952.494401852557</v>
      </c>
      <c r="DQ5" s="10">
        <f t="shared" si="29"/>
        <v>64456.489298871573</v>
      </c>
      <c r="DR5" s="12">
        <f t="shared" si="29"/>
        <v>60485.96807458032</v>
      </c>
      <c r="DS5" s="12">
        <f t="shared" ref="DS5:ED5" si="30">DS3-DS4</f>
        <v>59411.32518177032</v>
      </c>
      <c r="DT5" s="12">
        <f t="shared" si="30"/>
        <v>62127.175885416604</v>
      </c>
      <c r="DU5" s="12">
        <f t="shared" si="30"/>
        <v>64071.219036170274</v>
      </c>
      <c r="DV5" s="12">
        <f t="shared" si="30"/>
        <v>63420.322439372831</v>
      </c>
      <c r="DW5" s="12">
        <f t="shared" si="30"/>
        <v>64481.04990342191</v>
      </c>
      <c r="DX5" s="12">
        <f t="shared" si="30"/>
        <v>65876.418430783291</v>
      </c>
      <c r="DY5" s="12">
        <f t="shared" si="30"/>
        <v>66339.579134608008</v>
      </c>
      <c r="DZ5" s="12">
        <f t="shared" si="30"/>
        <v>66950.66509228581</v>
      </c>
      <c r="EA5" s="12">
        <f t="shared" si="30"/>
        <v>70527.309909616655</v>
      </c>
      <c r="EB5" s="12">
        <f t="shared" si="30"/>
        <v>69433.601646875104</v>
      </c>
      <c r="EC5" s="10">
        <f t="shared" si="30"/>
        <v>70810.432843522096</v>
      </c>
      <c r="ED5" s="12">
        <f t="shared" si="30"/>
        <v>65357.909281899563</v>
      </c>
      <c r="EE5" s="12">
        <f t="shared" ref="EE5:EP5" si="31">EE3-EE4</f>
        <v>76298.479884356668</v>
      </c>
      <c r="EF5" s="12">
        <f t="shared" si="31"/>
        <v>68552.533550074004</v>
      </c>
      <c r="EG5" s="12">
        <f t="shared" si="31"/>
        <v>68899.789616489565</v>
      </c>
      <c r="EH5" s="12">
        <f t="shared" si="31"/>
        <v>69451.5918062696</v>
      </c>
      <c r="EI5" s="12">
        <f t="shared" si="31"/>
        <v>76776.016662622686</v>
      </c>
      <c r="EJ5" s="12">
        <f t="shared" si="31"/>
        <v>70450.498908794529</v>
      </c>
      <c r="EK5" s="12">
        <f t="shared" si="31"/>
        <v>70554.940974786819</v>
      </c>
      <c r="EL5" s="12">
        <f t="shared" si="31"/>
        <v>72154.926906648267</v>
      </c>
      <c r="EM5" s="12">
        <f t="shared" si="31"/>
        <v>73801.428317134647</v>
      </c>
      <c r="EN5" s="12">
        <f t="shared" si="31"/>
        <v>74359.201945163513</v>
      </c>
      <c r="EO5" s="10">
        <f t="shared" si="31"/>
        <v>76190.47341107126</v>
      </c>
      <c r="EP5" s="12">
        <f t="shared" si="31"/>
        <v>70948.741536178451</v>
      </c>
      <c r="EQ5" s="12">
        <f t="shared" ref="EQ5:FB5" si="32">EQ3-EQ4</f>
        <v>73164.043708000449</v>
      </c>
      <c r="ER5" s="12">
        <f t="shared" si="32"/>
        <v>76712.129290664219</v>
      </c>
      <c r="ES5" s="12">
        <f t="shared" si="32"/>
        <v>76713.521714964561</v>
      </c>
      <c r="ET5" s="12">
        <f t="shared" si="32"/>
        <v>78116.093817218149</v>
      </c>
      <c r="EU5" s="12">
        <f t="shared" si="32"/>
        <v>78233.022275943338</v>
      </c>
      <c r="EV5" s="12">
        <f t="shared" si="32"/>
        <v>78110.324336787075</v>
      </c>
      <c r="EW5" s="12">
        <f t="shared" si="32"/>
        <v>79008.488131520397</v>
      </c>
      <c r="EX5" s="12">
        <f t="shared" si="32"/>
        <v>80060.593780326351</v>
      </c>
      <c r="EY5" s="12">
        <f t="shared" si="32"/>
        <v>82448.878285499464</v>
      </c>
      <c r="EZ5" s="12">
        <f t="shared" si="32"/>
        <v>83211.956883951148</v>
      </c>
      <c r="FA5" s="10">
        <f t="shared" si="32"/>
        <v>84390.973273438751</v>
      </c>
      <c r="FB5" s="12">
        <f t="shared" si="32"/>
        <v>80667.639303024189</v>
      </c>
      <c r="FC5" s="12">
        <f t="shared" ref="FC5:FN5" si="33">FC3-FC4</f>
        <v>81639.225752646133</v>
      </c>
      <c r="FD5" s="12">
        <f t="shared" si="33"/>
        <v>83373.852553193516</v>
      </c>
      <c r="FE5" s="12">
        <f t="shared" si="33"/>
        <v>85552.725409707287</v>
      </c>
      <c r="FF5" s="12">
        <f t="shared" si="33"/>
        <v>85011.268085845484</v>
      </c>
      <c r="FG5" s="12">
        <f t="shared" si="33"/>
        <v>85926.392538746717</v>
      </c>
      <c r="FH5" s="12">
        <f t="shared" si="33"/>
        <v>86668.542160671685</v>
      </c>
      <c r="FI5" s="12">
        <f t="shared" si="33"/>
        <v>87997.883308316173</v>
      </c>
      <c r="FJ5" s="12">
        <f t="shared" si="33"/>
        <v>89038.857724905509</v>
      </c>
      <c r="FK5" s="12">
        <f t="shared" si="33"/>
        <v>90681.719348469851</v>
      </c>
      <c r="FL5" s="12">
        <f t="shared" si="33"/>
        <v>91526.645754888843</v>
      </c>
      <c r="FM5" s="10">
        <f t="shared" si="33"/>
        <v>92672.355873440596</v>
      </c>
      <c r="FN5" s="12">
        <f t="shared" si="33"/>
        <v>87276.103856114263</v>
      </c>
      <c r="FO5" s="12">
        <f t="shared" ref="FO5:FZ5" si="34">FO3-FO4</f>
        <v>88376.79400953115</v>
      </c>
      <c r="FP5" s="12">
        <f t="shared" si="34"/>
        <v>92045.07307932034</v>
      </c>
      <c r="FQ5" s="12">
        <f t="shared" si="34"/>
        <v>89182.457968945077</v>
      </c>
      <c r="FR5" s="12">
        <f t="shared" si="34"/>
        <v>90469.061284520547</v>
      </c>
      <c r="FS5" s="12">
        <f t="shared" si="34"/>
        <v>91721.141028386948</v>
      </c>
      <c r="FT5" s="12">
        <f t="shared" si="34"/>
        <v>91507.483955697986</v>
      </c>
      <c r="FU5" s="12">
        <f t="shared" si="34"/>
        <v>92566.375657961718</v>
      </c>
      <c r="FV5" s="12">
        <f t="shared" si="34"/>
        <v>93320.644364483858</v>
      </c>
      <c r="FW5" s="12">
        <f t="shared" si="34"/>
        <v>93659.577249021837</v>
      </c>
      <c r="FX5" s="12">
        <f t="shared" si="34"/>
        <v>95536.52705862897</v>
      </c>
      <c r="FY5" s="10">
        <f t="shared" si="34"/>
        <v>95717.789429975557</v>
      </c>
      <c r="FZ5" s="12">
        <f t="shared" si="34"/>
        <v>88847.094588272565</v>
      </c>
      <c r="GA5" s="12">
        <f t="shared" ref="GA5:GL5" si="35">GA3-GA4</f>
        <v>89210.604012758587</v>
      </c>
      <c r="GB5" s="12">
        <f t="shared" si="35"/>
        <v>94085.924491380822</v>
      </c>
      <c r="GC5" s="12">
        <f t="shared" si="35"/>
        <v>91005.600658501266</v>
      </c>
      <c r="GD5" s="12">
        <f t="shared" si="35"/>
        <v>92801.803344126049</v>
      </c>
      <c r="GE5" s="12">
        <f t="shared" si="35"/>
        <v>92802.708576341087</v>
      </c>
      <c r="GF5" s="12">
        <f t="shared" si="35"/>
        <v>93391.646485807403</v>
      </c>
      <c r="GG5" s="12">
        <f t="shared" si="35"/>
        <v>96407.126523216342</v>
      </c>
      <c r="GH5" s="12">
        <f t="shared" si="35"/>
        <v>96427.166911179607</v>
      </c>
      <c r="GI5" s="12">
        <f t="shared" si="35"/>
        <v>99976.378100543501</v>
      </c>
      <c r="GJ5" s="12">
        <f t="shared" si="35"/>
        <v>101943.53681935374</v>
      </c>
      <c r="GK5" s="10">
        <f t="shared" si="35"/>
        <v>102894.66887897314</v>
      </c>
      <c r="GL5" s="12">
        <f t="shared" si="35"/>
        <v>88803.036098399578</v>
      </c>
      <c r="GM5" s="12">
        <f t="shared" ref="GM5:GX5" si="36">GM3-GM4</f>
        <v>87665.358051399176</v>
      </c>
      <c r="GN5" s="12">
        <f t="shared" si="36"/>
        <v>92987.367035127798</v>
      </c>
      <c r="GO5" s="12">
        <f t="shared" si="36"/>
        <v>90829.914995752741</v>
      </c>
      <c r="GP5" s="12">
        <f t="shared" si="36"/>
        <v>91689.0527315457</v>
      </c>
      <c r="GQ5" s="12">
        <f t="shared" si="36"/>
        <v>92991.654208032516</v>
      </c>
      <c r="GR5" s="12">
        <f t="shared" si="36"/>
        <v>92738.876325323901</v>
      </c>
      <c r="GS5" s="12">
        <f t="shared" si="36"/>
        <v>93651.432786147052</v>
      </c>
      <c r="GT5" s="12">
        <f t="shared" si="36"/>
        <v>95155.420875545431</v>
      </c>
      <c r="GU5" s="12">
        <f t="shared" si="36"/>
        <v>94958.052665239549</v>
      </c>
      <c r="GV5" s="12">
        <f t="shared" si="36"/>
        <v>95922.835551542841</v>
      </c>
      <c r="GW5" s="10">
        <f t="shared" si="36"/>
        <v>95942.480772918701</v>
      </c>
      <c r="GX5" s="12">
        <f t="shared" si="36"/>
        <v>85905.709698259452</v>
      </c>
      <c r="GY5" s="12">
        <f t="shared" ref="GY5:HJ5" si="37">GY3-GY4</f>
        <v>87986.495878325339</v>
      </c>
      <c r="GZ5" s="12">
        <f t="shared" si="37"/>
        <v>94599.481778269037</v>
      </c>
      <c r="HA5" s="12">
        <f t="shared" si="37"/>
        <v>90246.807229824175</v>
      </c>
      <c r="HB5" s="12">
        <f t="shared" si="37"/>
        <v>91273.682650800445</v>
      </c>
      <c r="HC5" s="12">
        <f t="shared" si="37"/>
        <v>94400.532468106641</v>
      </c>
      <c r="HD5" s="12">
        <f t="shared" si="37"/>
        <v>93537.841268891789</v>
      </c>
      <c r="HE5" s="12">
        <f t="shared" si="37"/>
        <v>95582.818413853092</v>
      </c>
      <c r="HF5" s="12">
        <f t="shared" si="37"/>
        <v>96911.156246851737</v>
      </c>
      <c r="HG5" s="12">
        <f t="shared" si="37"/>
        <v>98308.238070501728</v>
      </c>
      <c r="HH5" s="12">
        <f t="shared" si="37"/>
        <v>101024.11950229583</v>
      </c>
      <c r="HI5" s="10">
        <f t="shared" si="37"/>
        <v>101587.33567268436</v>
      </c>
      <c r="HJ5" s="12">
        <f t="shared" si="37"/>
        <v>66914.270464972185</v>
      </c>
      <c r="HK5" s="12">
        <f t="shared" ref="HK5:HV5" si="38">HK3-HK4</f>
        <v>73661.193529983822</v>
      </c>
      <c r="HL5" s="12">
        <f t="shared" si="38"/>
        <v>82206.220842293784</v>
      </c>
      <c r="HM5" s="12">
        <f t="shared" si="38"/>
        <v>77782.766470181203</v>
      </c>
      <c r="HN5" s="12">
        <f t="shared" si="38"/>
        <v>80769.542201492412</v>
      </c>
      <c r="HO5" s="12">
        <f t="shared" si="38"/>
        <v>84653.665187893086</v>
      </c>
      <c r="HP5" s="12">
        <f t="shared" si="38"/>
        <v>89699.529724068925</v>
      </c>
      <c r="HQ5" s="12">
        <f t="shared" si="38"/>
        <v>96966.138879175633</v>
      </c>
      <c r="HR5" s="12">
        <f t="shared" si="38"/>
        <v>99917.241888593067</v>
      </c>
      <c r="HS5" s="12">
        <f t="shared" si="38"/>
        <v>103229.56859549366</v>
      </c>
      <c r="HT5" s="12">
        <f t="shared" si="38"/>
        <v>110985.91069964178</v>
      </c>
      <c r="HU5" s="10">
        <f t="shared" si="38"/>
        <v>110961.31280302293</v>
      </c>
      <c r="HV5" s="12">
        <f t="shared" si="38"/>
        <v>68248.617111566418</v>
      </c>
      <c r="HW5" s="12">
        <f t="shared" ref="HW5:IH5" si="39">HW3-HW4</f>
        <v>69541.411850963545</v>
      </c>
      <c r="HX5" s="12">
        <f t="shared" si="39"/>
        <v>75190.638694146561</v>
      </c>
      <c r="HY5" s="12">
        <f t="shared" si="39"/>
        <v>85140.482514303454</v>
      </c>
      <c r="HZ5" s="12">
        <f t="shared" si="39"/>
        <v>89676.164517673227</v>
      </c>
      <c r="IA5" s="12">
        <f t="shared" si="39"/>
        <v>86430.490638816598</v>
      </c>
      <c r="IB5" s="12">
        <f t="shared" si="39"/>
        <v>90774.414098144218</v>
      </c>
      <c r="IC5" s="12">
        <f t="shared" si="39"/>
        <v>104778.12543802116</v>
      </c>
      <c r="ID5" s="12">
        <f t="shared" si="39"/>
        <v>107552.59002637367</v>
      </c>
      <c r="IE5" s="12">
        <f t="shared" si="39"/>
        <v>113799.99961554249</v>
      </c>
      <c r="IF5" s="12">
        <f t="shared" si="39"/>
        <v>118764.31678860744</v>
      </c>
      <c r="IG5" s="10">
        <f t="shared" si="39"/>
        <v>122576.13093661885</v>
      </c>
      <c r="IH5" s="12">
        <f t="shared" si="39"/>
        <v>94643.362353678807</v>
      </c>
      <c r="II5" s="12">
        <f t="shared" ref="II5:IS5" si="40">II3-II4</f>
        <v>95803.579024562088</v>
      </c>
      <c r="IJ5" s="12">
        <f t="shared" si="40"/>
        <v>106273.00239702934</v>
      </c>
      <c r="IK5" s="12">
        <f t="shared" si="40"/>
        <v>106286.51266287739</v>
      </c>
      <c r="IL5" s="12">
        <f t="shared" si="40"/>
        <v>110730.69452935272</v>
      </c>
      <c r="IM5" s="12">
        <f t="shared" si="40"/>
        <v>109416.9518241912</v>
      </c>
      <c r="IN5" s="12">
        <f t="shared" si="40"/>
        <v>114801.62208622874</v>
      </c>
      <c r="IO5" s="12">
        <f t="shared" si="40"/>
        <v>119331.67220008938</v>
      </c>
      <c r="IP5" s="12">
        <f t="shared" si="40"/>
        <v>121270.53687104858</v>
      </c>
      <c r="IQ5" s="12">
        <f t="shared" si="40"/>
        <v>124239.26859417274</v>
      </c>
      <c r="IR5" s="12">
        <f t="shared" si="40"/>
        <v>124044.85398852898</v>
      </c>
      <c r="IS5" s="10">
        <f t="shared" si="40"/>
        <v>127113.49521247484</v>
      </c>
    </row>
    <row r="6" spans="1:254" x14ac:dyDescent="0.3">
      <c r="A6" s="1" t="s">
        <v>17</v>
      </c>
      <c r="B6" s="7">
        <v>6.5000000000000002E-2</v>
      </c>
      <c r="C6" s="7">
        <v>6.5000000000000002E-2</v>
      </c>
      <c r="D6" s="7">
        <v>6.5000000000000002E-2</v>
      </c>
      <c r="E6" s="7">
        <v>6.5000000000000002E-2</v>
      </c>
      <c r="F6" s="7">
        <v>6.5000000000000002E-2</v>
      </c>
      <c r="G6" s="7">
        <v>6.5000000000000002E-2</v>
      </c>
      <c r="H6" s="7">
        <v>6.5000000000000002E-2</v>
      </c>
      <c r="I6" s="7">
        <v>6.5000000000000002E-2</v>
      </c>
      <c r="J6" s="7">
        <v>0.06</v>
      </c>
      <c r="K6" s="7">
        <v>0.06</v>
      </c>
      <c r="L6" s="7">
        <v>0.06</v>
      </c>
      <c r="M6" s="11">
        <v>0.06</v>
      </c>
      <c r="N6" s="7">
        <v>0.06</v>
      </c>
      <c r="O6" s="7">
        <v>0.06</v>
      </c>
      <c r="P6" s="7">
        <v>0.06</v>
      </c>
      <c r="Q6" s="7">
        <v>0.06</v>
      </c>
      <c r="R6" s="7">
        <v>6.25E-2</v>
      </c>
      <c r="S6" s="7">
        <v>6.5000000000000002E-2</v>
      </c>
      <c r="T6" s="7">
        <v>6.5000000000000002E-2</v>
      </c>
      <c r="U6" s="7">
        <v>6.7500000000000004E-2</v>
      </c>
      <c r="V6" s="7">
        <v>6.7500000000000004E-2</v>
      </c>
      <c r="W6" s="7">
        <v>7.2499999999999995E-2</v>
      </c>
      <c r="X6" s="7">
        <v>7.2499999999999995E-2</v>
      </c>
      <c r="Y6" s="11">
        <v>7.4999999999999997E-2</v>
      </c>
      <c r="Z6" s="7">
        <v>7.7499999999999999E-2</v>
      </c>
      <c r="AA6" s="7">
        <v>0.08</v>
      </c>
      <c r="AB6" s="7">
        <v>8.2500000000000004E-2</v>
      </c>
      <c r="AC6" s="7">
        <v>8.2500000000000004E-2</v>
      </c>
      <c r="AD6" s="7">
        <v>8.7499999999999994E-2</v>
      </c>
      <c r="AE6" s="7">
        <v>0.09</v>
      </c>
      <c r="AF6" s="7">
        <v>9.2499999999999999E-2</v>
      </c>
      <c r="AG6" s="7">
        <v>9.2499999999999999E-2</v>
      </c>
      <c r="AH6" s="7">
        <v>9.2499999999999999E-2</v>
      </c>
      <c r="AI6" s="7">
        <v>9.2499999999999999E-2</v>
      </c>
      <c r="AJ6" s="7">
        <v>9.5000000000000001E-2</v>
      </c>
      <c r="AK6" s="11">
        <v>9.5000000000000001E-2</v>
      </c>
      <c r="AL6" s="7">
        <v>9.5000000000000001E-2</v>
      </c>
      <c r="AM6" s="7">
        <v>9.7500000000000003E-2</v>
      </c>
      <c r="AN6" s="7">
        <v>9.7500000000000003E-2</v>
      </c>
      <c r="AO6" s="7">
        <v>9.7500000000000003E-2</v>
      </c>
      <c r="AP6" s="7">
        <v>9.7500000000000003E-2</v>
      </c>
      <c r="AQ6" s="7">
        <v>9.7500000000000003E-2</v>
      </c>
      <c r="AR6" s="7">
        <v>0.1</v>
      </c>
      <c r="AS6" s="7">
        <v>0.1</v>
      </c>
      <c r="AT6" s="7">
        <v>0.1</v>
      </c>
      <c r="AU6" s="7">
        <v>0.1</v>
      </c>
      <c r="AV6" s="7">
        <v>0.1</v>
      </c>
      <c r="AW6" s="11">
        <v>9.5000000000000001E-2</v>
      </c>
      <c r="AX6" s="7">
        <v>9.5000000000000001E-2</v>
      </c>
      <c r="AY6" s="7">
        <v>0.09</v>
      </c>
      <c r="AZ6" s="7">
        <v>7.0000000000000007E-2</v>
      </c>
      <c r="BA6" s="7">
        <v>7.0000000000000007E-2</v>
      </c>
      <c r="BB6" s="7">
        <v>0.06</v>
      </c>
      <c r="BC6" s="7">
        <v>4.4999999999999998E-2</v>
      </c>
      <c r="BD6" s="7">
        <v>4.4999999999999998E-2</v>
      </c>
      <c r="BE6" s="7">
        <v>4.4999999999999998E-2</v>
      </c>
      <c r="BF6" s="7">
        <v>0.04</v>
      </c>
      <c r="BG6" s="7">
        <v>0.04</v>
      </c>
      <c r="BH6" s="7">
        <v>3.5000000000000003E-2</v>
      </c>
      <c r="BI6" s="11">
        <v>3.5000000000000003E-2</v>
      </c>
      <c r="BJ6" s="7">
        <v>3.5000000000000003E-2</v>
      </c>
      <c r="BK6" s="7">
        <v>3.5000000000000003E-2</v>
      </c>
      <c r="BL6" s="7">
        <v>3.5000000000000003E-2</v>
      </c>
      <c r="BM6" s="7">
        <v>3.5000000000000003E-2</v>
      </c>
      <c r="BN6" s="7">
        <v>0.03</v>
      </c>
      <c r="BO6" s="7">
        <v>0.03</v>
      </c>
      <c r="BP6" s="7">
        <v>0.03</v>
      </c>
      <c r="BQ6" s="7">
        <v>0.03</v>
      </c>
      <c r="BR6" s="7">
        <v>0.03</v>
      </c>
      <c r="BS6" s="7">
        <v>0.03</v>
      </c>
      <c r="BT6" s="7">
        <v>0.03</v>
      </c>
      <c r="BU6" s="11">
        <v>0.03</v>
      </c>
      <c r="BV6" s="7">
        <v>0.03</v>
      </c>
      <c r="BW6" s="7">
        <v>3.2500000000000001E-2</v>
      </c>
      <c r="BX6" s="7">
        <v>3.5000000000000003E-2</v>
      </c>
      <c r="BY6" s="7">
        <v>3.5000000000000003E-2</v>
      </c>
      <c r="BZ6" s="7">
        <v>0.04</v>
      </c>
      <c r="CA6" s="7">
        <v>4.2500000000000003E-2</v>
      </c>
      <c r="CB6" s="7">
        <v>4.2500000000000003E-2</v>
      </c>
      <c r="CC6" s="7">
        <v>4.4999999999999998E-2</v>
      </c>
      <c r="CD6" s="7">
        <v>4.4999999999999998E-2</v>
      </c>
      <c r="CE6" s="7">
        <v>4.4999999999999998E-2</v>
      </c>
      <c r="CF6" s="7">
        <v>4.7500000000000001E-2</v>
      </c>
      <c r="CG6" s="16">
        <v>4.7500000000000001E-2</v>
      </c>
      <c r="CH6" s="7">
        <v>0.05</v>
      </c>
      <c r="CI6" s="7">
        <v>5.2499999999999998E-2</v>
      </c>
      <c r="CJ6" s="7">
        <v>5.2499999999999998E-2</v>
      </c>
      <c r="CK6" s="7">
        <v>5.2499999999999998E-2</v>
      </c>
      <c r="CL6" s="7">
        <v>5.2499999999999998E-2</v>
      </c>
      <c r="CM6" s="7">
        <v>5.2499999999999998E-2</v>
      </c>
      <c r="CN6" s="7">
        <v>0.05</v>
      </c>
      <c r="CO6" s="7">
        <v>4.7500000000000001E-2</v>
      </c>
      <c r="CP6" s="7">
        <v>4.7500000000000001E-2</v>
      </c>
      <c r="CQ6" s="7">
        <v>4.7500000000000001E-2</v>
      </c>
      <c r="CR6" s="7">
        <v>4.4999999999999998E-2</v>
      </c>
      <c r="CS6" s="11">
        <v>4.2500000000000003E-2</v>
      </c>
      <c r="CT6" s="7">
        <v>0.04</v>
      </c>
      <c r="CU6" s="7">
        <v>3.7499999999999999E-2</v>
      </c>
      <c r="CV6" s="7">
        <v>3.2500000000000001E-2</v>
      </c>
      <c r="CW6" s="7">
        <v>3.2500000000000001E-2</v>
      </c>
      <c r="CX6" s="7">
        <v>3.2500000000000001E-2</v>
      </c>
      <c r="CY6" s="7">
        <v>3.2500000000000001E-2</v>
      </c>
      <c r="CZ6" s="7">
        <v>3.2500000000000001E-2</v>
      </c>
      <c r="DA6" s="7">
        <v>3.2500000000000001E-2</v>
      </c>
      <c r="DB6" s="7">
        <v>3.2500000000000001E-2</v>
      </c>
      <c r="DC6" s="7">
        <v>3.2500000000000001E-2</v>
      </c>
      <c r="DD6" s="7">
        <v>3.2500000000000001E-2</v>
      </c>
      <c r="DE6" s="16">
        <v>3.2500000000000001E-2</v>
      </c>
      <c r="DF6" s="7">
        <v>3.2500000000000001E-2</v>
      </c>
      <c r="DG6" s="7">
        <v>3.2500000000000001E-2</v>
      </c>
      <c r="DH6" s="7">
        <v>3.2500000000000001E-2</v>
      </c>
      <c r="DI6" s="7">
        <v>3.5000000000000003E-2</v>
      </c>
      <c r="DJ6" s="7">
        <v>3.5000000000000003E-2</v>
      </c>
      <c r="DK6" s="7">
        <v>0.04</v>
      </c>
      <c r="DL6" s="7">
        <v>0.04</v>
      </c>
      <c r="DM6" s="7">
        <v>4.2500000000000003E-2</v>
      </c>
      <c r="DN6" s="7">
        <v>4.4999999999999998E-2</v>
      </c>
      <c r="DO6" s="7">
        <v>4.4999999999999998E-2</v>
      </c>
      <c r="DP6" s="7">
        <v>4.4999999999999998E-2</v>
      </c>
      <c r="DQ6" s="16">
        <v>4.4999999999999998E-2</v>
      </c>
      <c r="DR6" s="7">
        <v>4.4999999999999998E-2</v>
      </c>
      <c r="DS6" s="7">
        <v>4.4999999999999998E-2</v>
      </c>
      <c r="DT6" s="7">
        <v>4.4999999999999998E-2</v>
      </c>
      <c r="DU6" s="7">
        <v>4.4999999999999998E-2</v>
      </c>
      <c r="DV6" s="7">
        <v>4.4999999999999998E-2</v>
      </c>
      <c r="DW6" s="7">
        <v>4.4999999999999998E-2</v>
      </c>
      <c r="DX6" s="7">
        <v>4.4999999999999998E-2</v>
      </c>
      <c r="DY6" s="7">
        <v>4.4999999999999998E-2</v>
      </c>
      <c r="DZ6" s="7">
        <v>4.7500000000000001E-2</v>
      </c>
      <c r="EA6" s="7">
        <v>4.7500000000000001E-2</v>
      </c>
      <c r="EB6" s="7">
        <v>5.5E-2</v>
      </c>
      <c r="EC6" s="16">
        <v>5.7500000000000002E-2</v>
      </c>
      <c r="ED6" s="7">
        <v>5.7500000000000002E-2</v>
      </c>
      <c r="EE6" s="7">
        <v>6.25E-2</v>
      </c>
      <c r="EF6" s="7">
        <v>6.5000000000000002E-2</v>
      </c>
      <c r="EG6" s="7">
        <v>6.5000000000000002E-2</v>
      </c>
      <c r="EH6" s="7">
        <v>7.2499999999999995E-2</v>
      </c>
      <c r="EI6" s="7">
        <v>7.4999999999999997E-2</v>
      </c>
      <c r="EJ6" s="7">
        <v>7.4999999999999997E-2</v>
      </c>
      <c r="EK6" s="7">
        <v>7.7499999999999999E-2</v>
      </c>
      <c r="EL6" s="7">
        <v>7.7499999999999999E-2</v>
      </c>
      <c r="EM6" s="7">
        <v>7.7499999999999999E-2</v>
      </c>
      <c r="EN6" s="7">
        <v>7.7499999999999999E-2</v>
      </c>
      <c r="EO6" s="16">
        <v>7.4999999999999997E-2</v>
      </c>
      <c r="EP6" s="7">
        <v>7.4999999999999997E-2</v>
      </c>
      <c r="EQ6" s="7">
        <v>7.2499999999999995E-2</v>
      </c>
      <c r="ER6" s="7">
        <v>7.0000000000000007E-2</v>
      </c>
      <c r="ES6" s="7">
        <v>7.0000000000000007E-2</v>
      </c>
      <c r="ET6" s="7">
        <v>6.25E-2</v>
      </c>
      <c r="EU6" s="7">
        <v>6.25E-2</v>
      </c>
      <c r="EV6" s="7">
        <v>5.5E-2</v>
      </c>
      <c r="EW6" s="7">
        <v>5.5E-2</v>
      </c>
      <c r="EX6" s="7">
        <v>5.2499999999999998E-2</v>
      </c>
      <c r="EY6" s="7">
        <v>0.05</v>
      </c>
      <c r="EZ6" s="7">
        <v>4.7500000000000001E-2</v>
      </c>
      <c r="FA6" s="16">
        <v>4.7500000000000001E-2</v>
      </c>
      <c r="FB6" s="7">
        <v>4.4999999999999998E-2</v>
      </c>
      <c r="FC6" s="7">
        <v>4.4999999999999998E-2</v>
      </c>
      <c r="FD6" s="7">
        <v>4.4999999999999998E-2</v>
      </c>
      <c r="FE6" s="7">
        <v>4.2500000000000003E-2</v>
      </c>
      <c r="FF6" s="7">
        <v>4.2500000000000003E-2</v>
      </c>
      <c r="FG6" s="7">
        <v>4.2500000000000003E-2</v>
      </c>
      <c r="FH6" s="7">
        <v>4.2500000000000003E-2</v>
      </c>
      <c r="FI6" s="7">
        <v>4.2500000000000003E-2</v>
      </c>
      <c r="FJ6" s="7">
        <v>4.2500000000000003E-2</v>
      </c>
      <c r="FK6" s="7">
        <v>4.2500000000000003E-2</v>
      </c>
      <c r="FL6" s="7">
        <v>4.2500000000000003E-2</v>
      </c>
      <c r="FM6" s="16">
        <v>4.2500000000000003E-2</v>
      </c>
      <c r="FN6" s="7">
        <v>4.2500000000000003E-2</v>
      </c>
      <c r="FO6" s="7">
        <v>4.2500000000000003E-2</v>
      </c>
      <c r="FP6" s="7">
        <v>4.2500000000000003E-2</v>
      </c>
      <c r="FQ6" s="7">
        <v>4.2500000000000003E-2</v>
      </c>
      <c r="FR6" s="7">
        <v>4.2500000000000003E-2</v>
      </c>
      <c r="FS6" s="7">
        <v>4.2500000000000003E-2</v>
      </c>
      <c r="FT6" s="7">
        <v>4.2500000000000003E-2</v>
      </c>
      <c r="FU6" s="7">
        <v>4.2500000000000003E-2</v>
      </c>
      <c r="FV6" s="7">
        <v>4.2500000000000003E-2</v>
      </c>
      <c r="FW6" s="7">
        <v>4.2500000000000003E-2</v>
      </c>
      <c r="FX6" s="7">
        <v>4.2500000000000003E-2</v>
      </c>
      <c r="FY6" s="16">
        <v>4.2500000000000003E-2</v>
      </c>
      <c r="FZ6" s="7">
        <v>4.2500000000000003E-2</v>
      </c>
      <c r="GA6" s="7">
        <v>4.2500000000000003E-2</v>
      </c>
      <c r="GB6" s="7">
        <v>3.7499999999999999E-2</v>
      </c>
      <c r="GC6" s="7">
        <v>3.7499999999999999E-2</v>
      </c>
      <c r="GD6" s="7">
        <v>3.2500000000000001E-2</v>
      </c>
      <c r="GE6" s="7">
        <v>2.75E-2</v>
      </c>
      <c r="GF6" s="7">
        <v>2.5000000000000001E-2</v>
      </c>
      <c r="GG6" s="7">
        <v>2.2499999999999999E-2</v>
      </c>
      <c r="GH6" s="7">
        <v>1.7500000000000002E-2</v>
      </c>
      <c r="GI6" s="7">
        <v>1.7500000000000002E-2</v>
      </c>
      <c r="GJ6" s="7">
        <v>1.7500000000000002E-2</v>
      </c>
      <c r="GK6" s="16">
        <v>1.7500000000000002E-2</v>
      </c>
      <c r="GL6" s="7">
        <v>1.7500000000000002E-2</v>
      </c>
      <c r="GM6" s="7">
        <v>1.7500000000000002E-2</v>
      </c>
      <c r="GN6" s="7">
        <v>1.7500000000000002E-2</v>
      </c>
      <c r="GO6" s="7">
        <v>1.7500000000000002E-2</v>
      </c>
      <c r="GP6" s="7">
        <v>1.7500000000000002E-2</v>
      </c>
      <c r="GQ6" s="7">
        <v>1.7500000000000002E-2</v>
      </c>
      <c r="GR6" s="7">
        <v>1.7500000000000002E-2</v>
      </c>
      <c r="GS6" s="7">
        <v>1.7500000000000002E-2</v>
      </c>
      <c r="GT6" s="7">
        <v>1.7500000000000002E-2</v>
      </c>
      <c r="GU6" s="7">
        <v>0.02</v>
      </c>
      <c r="GV6" s="7">
        <v>2.5000000000000001E-2</v>
      </c>
      <c r="GW6" s="16">
        <v>0.03</v>
      </c>
      <c r="GX6" s="7">
        <v>0.04</v>
      </c>
      <c r="GY6" s="7">
        <v>0.04</v>
      </c>
      <c r="GZ6" s="7">
        <v>0.04</v>
      </c>
      <c r="HA6" s="7">
        <v>0.05</v>
      </c>
      <c r="HB6" s="7">
        <v>0.06</v>
      </c>
      <c r="HC6" s="7">
        <v>0.06</v>
      </c>
      <c r="HD6" s="7">
        <v>7.4999999999999997E-2</v>
      </c>
      <c r="HE6" s="7">
        <v>0.09</v>
      </c>
      <c r="HF6" s="7">
        <v>0.1</v>
      </c>
      <c r="HG6" s="7">
        <v>0.11</v>
      </c>
      <c r="HH6" s="7">
        <v>0.11</v>
      </c>
      <c r="HI6" s="16">
        <v>0.12</v>
      </c>
      <c r="HJ6" s="7">
        <v>0.1275</v>
      </c>
      <c r="HK6" s="7">
        <v>0.1275</v>
      </c>
      <c r="HL6" s="7">
        <v>0.13</v>
      </c>
      <c r="HM6" s="7">
        <v>0.13</v>
      </c>
      <c r="HN6" s="7">
        <v>0.13250000000000001</v>
      </c>
      <c r="HO6" s="7">
        <v>0.13250000000000001</v>
      </c>
      <c r="HP6" s="7">
        <v>0.13250000000000001</v>
      </c>
      <c r="HQ6" s="7">
        <v>0.13250000000000001</v>
      </c>
      <c r="HR6" s="7">
        <v>0.13250000000000001</v>
      </c>
      <c r="HS6" s="7">
        <v>0.13250000000000001</v>
      </c>
      <c r="HT6" s="7">
        <v>0.13250000000000001</v>
      </c>
      <c r="HU6" s="16">
        <v>0.13</v>
      </c>
      <c r="HV6" s="7">
        <v>0.13</v>
      </c>
      <c r="HW6" s="7">
        <v>0.1275</v>
      </c>
      <c r="HX6" s="7">
        <v>0.1225</v>
      </c>
      <c r="HY6" s="7">
        <v>0.1225</v>
      </c>
      <c r="HZ6" s="7">
        <v>0.11749999999999999</v>
      </c>
      <c r="IA6" s="7">
        <v>0.11749999999999999</v>
      </c>
      <c r="IB6" s="7">
        <v>0.1125</v>
      </c>
      <c r="IC6" s="7">
        <v>0.1075</v>
      </c>
      <c r="ID6" s="7">
        <v>0.1075</v>
      </c>
      <c r="IE6" s="7">
        <v>0.10249999999999999</v>
      </c>
      <c r="IF6" s="7">
        <v>9.7500000000000003E-2</v>
      </c>
      <c r="IG6" s="16">
        <v>9.5000000000000001E-2</v>
      </c>
      <c r="IH6" s="7">
        <v>9.5000000000000001E-2</v>
      </c>
      <c r="II6" s="7">
        <v>9.5000000000000001E-2</v>
      </c>
      <c r="IJ6" s="7">
        <v>9.5000000000000001E-2</v>
      </c>
      <c r="IK6" s="7">
        <v>9.5000000000000001E-2</v>
      </c>
      <c r="IL6" s="7">
        <v>9.2499999999999999E-2</v>
      </c>
      <c r="IM6" s="7">
        <v>9.2499999999999999E-2</v>
      </c>
      <c r="IN6" s="7">
        <v>9.2499999999999999E-2</v>
      </c>
      <c r="IO6" s="7">
        <v>9.2499999999999999E-2</v>
      </c>
      <c r="IP6" s="7">
        <v>9.2499999999999999E-2</v>
      </c>
      <c r="IQ6" s="7">
        <v>9.2499999999999999E-2</v>
      </c>
      <c r="IR6" s="7">
        <v>9.2499999999999999E-2</v>
      </c>
      <c r="IS6" s="16">
        <v>9.2499999999999999E-2</v>
      </c>
    </row>
    <row r="7" spans="1:254" x14ac:dyDescent="0.3">
      <c r="B7" s="7"/>
    </row>
    <row r="8" spans="1:254" x14ac:dyDescent="0.3">
      <c r="BV8" s="15"/>
      <c r="BW8" s="15"/>
      <c r="BX8" s="15"/>
      <c r="BY8" s="15"/>
      <c r="BZ8" s="15"/>
      <c r="CA8" s="15"/>
      <c r="CB8" s="15"/>
      <c r="CC8" s="15"/>
      <c r="CD8" s="15"/>
      <c r="CE8" s="15"/>
      <c r="CF8" s="15"/>
      <c r="CG8" s="15"/>
    </row>
    <row r="17" spans="86:253" x14ac:dyDescent="0.3">
      <c r="CH17" s="15"/>
      <c r="CI17" s="15"/>
      <c r="CJ17" s="15"/>
      <c r="CK17" s="15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5"/>
      <c r="DQ17" s="15"/>
      <c r="DR17" s="15"/>
      <c r="DS17" s="15"/>
      <c r="DT17" s="15"/>
      <c r="DU17" s="15"/>
      <c r="DV17" s="15"/>
      <c r="DW17" s="15"/>
      <c r="DX17" s="15"/>
      <c r="DY17" s="15"/>
      <c r="DZ17" s="15"/>
      <c r="EA17" s="15"/>
      <c r="EB17" s="15"/>
      <c r="EC17" s="15"/>
      <c r="ED17" s="15"/>
      <c r="EE17" s="15"/>
      <c r="EF17" s="15"/>
      <c r="EG17" s="15"/>
      <c r="EH17" s="15"/>
      <c r="EI17" s="15"/>
      <c r="EJ17" s="15"/>
      <c r="EK17" s="15"/>
      <c r="EL17" s="15"/>
      <c r="EM17" s="15"/>
      <c r="EN17" s="15"/>
      <c r="EO17" s="15"/>
      <c r="EP17" s="15"/>
      <c r="EQ17" s="15"/>
      <c r="ER17" s="15"/>
      <c r="ES17" s="15"/>
      <c r="ET17" s="15"/>
      <c r="EU17" s="15"/>
      <c r="EV17" s="15"/>
      <c r="EW17" s="15"/>
      <c r="EX17" s="15"/>
      <c r="EY17" s="15"/>
      <c r="EZ17" s="15"/>
      <c r="FA17" s="15"/>
      <c r="FB17" s="15"/>
      <c r="FC17" s="15"/>
      <c r="FD17" s="15"/>
      <c r="FE17" s="15"/>
      <c r="FF17" s="15"/>
      <c r="FG17" s="15"/>
      <c r="FH17" s="15"/>
      <c r="FI17" s="15"/>
      <c r="FJ17" s="15"/>
      <c r="FK17" s="15"/>
      <c r="FL17" s="15"/>
      <c r="FM17" s="15"/>
      <c r="FN17" s="15"/>
      <c r="FO17" s="15"/>
      <c r="FP17" s="15"/>
      <c r="FQ17" s="15"/>
      <c r="FR17" s="15"/>
      <c r="FS17" s="15"/>
      <c r="FT17" s="15"/>
      <c r="FU17" s="15"/>
      <c r="FV17" s="15"/>
      <c r="FW17" s="15"/>
      <c r="FX17" s="15"/>
      <c r="FY17" s="15"/>
      <c r="FZ17" s="15"/>
      <c r="GA17" s="15"/>
      <c r="GB17" s="15"/>
      <c r="GC17" s="15"/>
      <c r="GD17" s="15"/>
      <c r="GE17" s="15"/>
      <c r="GF17" s="15"/>
      <c r="GG17" s="15"/>
      <c r="GH17" s="15"/>
      <c r="GI17" s="15"/>
      <c r="GJ17" s="15"/>
      <c r="GK17" s="15"/>
      <c r="GL17" s="15"/>
      <c r="GM17" s="15"/>
      <c r="GN17" s="15"/>
      <c r="GO17" s="15"/>
      <c r="GP17" s="15"/>
      <c r="GQ17" s="15"/>
      <c r="GR17" s="15"/>
      <c r="GS17" s="15"/>
      <c r="GT17" s="15"/>
      <c r="GU17" s="15"/>
      <c r="GV17" s="15"/>
      <c r="GW17" s="15"/>
      <c r="GX17" s="15"/>
      <c r="GY17" s="15"/>
      <c r="GZ17" s="15"/>
      <c r="HA17" s="15"/>
      <c r="HB17" s="15"/>
      <c r="HC17" s="15"/>
      <c r="HD17" s="15"/>
      <c r="HE17" s="15"/>
      <c r="HF17" s="15"/>
      <c r="HG17" s="15"/>
      <c r="HH17" s="15"/>
      <c r="HI17" s="15"/>
      <c r="HJ17" s="15"/>
      <c r="HK17" s="15"/>
      <c r="HL17" s="15"/>
      <c r="HM17" s="15"/>
      <c r="HN17" s="15"/>
      <c r="HO17" s="15"/>
      <c r="HP17" s="15"/>
      <c r="HQ17" s="15"/>
      <c r="HR17" s="15"/>
      <c r="HS17" s="15"/>
      <c r="HT17" s="15"/>
      <c r="HU17" s="15"/>
      <c r="HV17" s="15"/>
      <c r="HW17" s="15"/>
      <c r="HX17" s="15"/>
      <c r="HY17" s="15"/>
      <c r="HZ17" s="15"/>
      <c r="IA17" s="15"/>
      <c r="IB17" s="15"/>
      <c r="IC17" s="15"/>
      <c r="ID17" s="15"/>
      <c r="IE17" s="15"/>
      <c r="IF17" s="15"/>
      <c r="IG17" s="15"/>
      <c r="IH17" s="15"/>
      <c r="II17" s="15"/>
      <c r="IJ17" s="15"/>
      <c r="IK17" s="15"/>
      <c r="IL17" s="15"/>
      <c r="IM17" s="15"/>
      <c r="IN17" s="15"/>
      <c r="IO17" s="15"/>
      <c r="IP17" s="15"/>
      <c r="IQ17" s="15"/>
      <c r="IR17" s="15"/>
      <c r="IS17" s="15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Mauricio Sanchez Velasquez</dc:creator>
  <cp:lastModifiedBy>jose mauricio sanchez velasquez</cp:lastModifiedBy>
  <dcterms:created xsi:type="dcterms:W3CDTF">2015-06-05T18:19:34Z</dcterms:created>
  <dcterms:modified xsi:type="dcterms:W3CDTF">2026-02-24T02:33:54Z</dcterms:modified>
</cp:coreProperties>
</file>